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80" yWindow="910" windowWidth="23940" windowHeight="10000" activeTab="3"/>
  </bookViews>
  <sheets>
    <sheet name="Лист1" sheetId="1" r:id="rId1"/>
    <sheet name="Лист2" sheetId="2" r:id="rId2"/>
    <sheet name="Лист3" sheetId="3" r:id="rId3"/>
    <sheet name="Лист4" sheetId="4" r:id="rId4"/>
  </sheets>
  <calcPr calcId="144525"/>
</workbook>
</file>

<file path=xl/calcChain.xml><?xml version="1.0" encoding="utf-8"?>
<calcChain xmlns="http://schemas.openxmlformats.org/spreadsheetml/2006/main">
  <c r="C2" i="1" l="1"/>
  <c r="D2" i="1"/>
  <c r="E2" i="1"/>
  <c r="C13" i="2"/>
  <c r="D13" i="2"/>
  <c r="E13" i="2"/>
  <c r="C7" i="2"/>
  <c r="D7" i="2"/>
  <c r="E7" i="2"/>
  <c r="D2" i="2"/>
  <c r="E2" i="2"/>
  <c r="C2" i="2"/>
  <c r="E13" i="3"/>
  <c r="C13" i="4"/>
  <c r="D13" i="4"/>
  <c r="E13" i="4"/>
</calcChain>
</file>

<file path=xl/sharedStrings.xml><?xml version="1.0" encoding="utf-8"?>
<sst xmlns="http://schemas.openxmlformats.org/spreadsheetml/2006/main" count="263" uniqueCount="34">
  <si>
    <t>Код</t>
  </si>
  <si>
    <t>Наименование</t>
  </si>
  <si>
    <t>Сальдо денежных потоков за отчетный период</t>
  </si>
  <si>
    <t>Величина влияния изменений курса иностранной валюты по отношению к рублю</t>
  </si>
  <si>
    <t>—</t>
  </si>
  <si>
    <t>Поступления – всего</t>
  </si>
  <si>
    <t>От продажи продукции, товаров, работ и услуг</t>
  </si>
  <si>
    <t>Арендных платежей, лицензионных платежей, роялти, комиссионных и иных аналогичных платежей</t>
  </si>
  <si>
    <t>От перепродажи финансовых вложений</t>
  </si>
  <si>
    <t>Прочие поступления</t>
  </si>
  <si>
    <t>Платежи – всего</t>
  </si>
  <si>
    <t>Поставщикам (подрядчикам)  за сырье, материалы, работы, услуги</t>
  </si>
  <si>
    <t>В связи с оплатой труда работников</t>
  </si>
  <si>
    <t>Проценты по долговым обязательствам</t>
  </si>
  <si>
    <t>Налога на прибыль организаций</t>
  </si>
  <si>
    <t>Прочие платежи</t>
  </si>
  <si>
    <t>Сальдо  денежных потоков от текущих операций</t>
  </si>
  <si>
    <t>От продажи внеоборотных активов (кроме финансовых  вложений)</t>
  </si>
  <si>
    <t>От продажи акций других организаций (долей участия) </t>
  </si>
  <si>
    <t>Дивидендов, процентов по долговым финансовым вложениям и аналогичных поступлений от долевого участия в других организациях</t>
  </si>
  <si>
    <t>В связи с приобретением, созданием, модернизацией, реконструкцией и подготовкой к использованию внеоборотных активов</t>
  </si>
  <si>
    <t>В связи с приобретением акций других организаций (долей участия)</t>
  </si>
  <si>
    <t>В связи с приобретением долговых ценных бумаг (прав требования денежных средств к другим лицам), предоставление займов другим лицам</t>
  </si>
  <si>
    <t>Процентов по долговым обязательствам, включаемым в стоимость инвестиционного актива</t>
  </si>
  <si>
    <t>Прочие  платежи</t>
  </si>
  <si>
    <t>Сальдо денежных потоков от инвестиционных операций</t>
  </si>
  <si>
    <t>Получение кредитов и займов</t>
  </si>
  <si>
    <t>Денежных вкладов собственников (участников)</t>
  </si>
  <si>
    <t>От выпуска акций, увеличения долей участия</t>
  </si>
  <si>
    <t>От выпуска облигаций, векселей и других долговых ценных бумаг и др.</t>
  </si>
  <si>
    <t>Собственникам (участникам) в связи с выкупом у них акций (долей участия) организации или их выходом из состава участников</t>
  </si>
  <si>
    <t>На уплату дивидендов и иных платежей по распределению  прибыли в пользу собственников (участников)</t>
  </si>
  <si>
    <t>В связи с погашением (выкупом) векселей и других долговых ценных бумаг, возврат кредитов и займов</t>
  </si>
  <si>
    <t>Сальдо денежных потоков от финансовых операций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</si>
</sst>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E12" sqref="E12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4400</v>
      </c>
      <c r="B2" t="s">
        <v>2</v>
      </c>
      <c r="C2">
        <f>Лист1!C13+Лист3!C13+Лист4!C13</f>
        <v>-802534</v>
      </c>
      <c r="D2">
        <f>Лист1!D13+Лист3!D13+Лист4!D13</f>
        <v>-593187</v>
      </c>
      <c r="E2">
        <f>Лист1!E13+Лист3!E13+Лист4!E13</f>
        <v>1764345</v>
      </c>
      <c r="F2">
        <v>-357655</v>
      </c>
      <c r="G2">
        <v>360766</v>
      </c>
      <c r="H2">
        <v>112345</v>
      </c>
      <c r="I2">
        <v>-64100</v>
      </c>
      <c r="J2">
        <v>29412</v>
      </c>
      <c r="K2">
        <v>3767</v>
      </c>
      <c r="L2">
        <v>21311</v>
      </c>
      <c r="M2">
        <v>77465</v>
      </c>
      <c r="N2">
        <v>-115738</v>
      </c>
      <c r="O2">
        <v>-21431</v>
      </c>
    </row>
    <row r="3" spans="1:15" x14ac:dyDescent="0.35">
      <c r="A3">
        <v>4490</v>
      </c>
      <c r="B3" t="s">
        <v>3</v>
      </c>
      <c r="C3">
        <v>90</v>
      </c>
      <c r="D3">
        <v>-113</v>
      </c>
      <c r="E3">
        <v>-109</v>
      </c>
      <c r="F3">
        <v>94</v>
      </c>
      <c r="G3">
        <v>486</v>
      </c>
      <c r="H3">
        <v>-604</v>
      </c>
      <c r="I3">
        <v>-10</v>
      </c>
      <c r="J3">
        <v>-41</v>
      </c>
      <c r="K3">
        <v>-39</v>
      </c>
      <c r="L3">
        <v>4353</v>
      </c>
      <c r="M3">
        <v>426</v>
      </c>
      <c r="N3">
        <v>152</v>
      </c>
      <c r="O3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M16" sqref="M1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4110</v>
      </c>
      <c r="B2" t="s">
        <v>5</v>
      </c>
      <c r="C2">
        <f>C3+C6</f>
        <v>12493583</v>
      </c>
      <c r="D2">
        <f t="shared" ref="D2:E2" si="0">D3+D6</f>
        <v>11916624</v>
      </c>
      <c r="E2">
        <f t="shared" si="0"/>
        <v>11087956</v>
      </c>
      <c r="F2">
        <v>10869165</v>
      </c>
      <c r="G2">
        <v>9883010</v>
      </c>
      <c r="H2">
        <v>7418818</v>
      </c>
      <c r="I2">
        <v>5439246</v>
      </c>
      <c r="J2">
        <v>4504668</v>
      </c>
      <c r="K2">
        <v>3485497</v>
      </c>
      <c r="L2">
        <v>2731033</v>
      </c>
      <c r="M2">
        <v>2024100</v>
      </c>
      <c r="N2">
        <v>1979896</v>
      </c>
      <c r="O2">
        <v>1679015</v>
      </c>
    </row>
    <row r="3" spans="1:15" x14ac:dyDescent="0.35">
      <c r="A3">
        <v>4111</v>
      </c>
      <c r="B3" t="s">
        <v>6</v>
      </c>
      <c r="C3">
        <v>12483205</v>
      </c>
      <c r="D3">
        <v>11900267</v>
      </c>
      <c r="E3">
        <v>11068921</v>
      </c>
      <c r="F3">
        <v>10849244</v>
      </c>
      <c r="G3">
        <v>9848390</v>
      </c>
      <c r="H3">
        <v>7374988</v>
      </c>
      <c r="I3">
        <v>5399396</v>
      </c>
      <c r="J3">
        <v>4427703</v>
      </c>
      <c r="K3">
        <v>3269741</v>
      </c>
      <c r="L3">
        <v>2728584</v>
      </c>
      <c r="M3">
        <v>2013637</v>
      </c>
      <c r="N3">
        <v>1926823</v>
      </c>
      <c r="O3">
        <v>1678713</v>
      </c>
    </row>
    <row r="4" spans="1:15" x14ac:dyDescent="0.35">
      <c r="A4">
        <v>4112</v>
      </c>
      <c r="B4" t="s">
        <v>7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4</v>
      </c>
    </row>
    <row r="5" spans="1:15" x14ac:dyDescent="0.35">
      <c r="A5">
        <v>4113</v>
      </c>
      <c r="B5" t="s">
        <v>8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  <c r="O5" t="s">
        <v>4</v>
      </c>
    </row>
    <row r="6" spans="1:15" x14ac:dyDescent="0.35">
      <c r="A6">
        <v>4119</v>
      </c>
      <c r="B6" t="s">
        <v>9</v>
      </c>
      <c r="C6">
        <v>10378</v>
      </c>
      <c r="D6">
        <v>16357</v>
      </c>
      <c r="E6">
        <v>19035</v>
      </c>
      <c r="F6">
        <v>18662</v>
      </c>
      <c r="G6">
        <v>10781</v>
      </c>
      <c r="H6">
        <v>10635</v>
      </c>
      <c r="I6">
        <v>144</v>
      </c>
      <c r="J6">
        <v>76965</v>
      </c>
      <c r="K6">
        <v>215756</v>
      </c>
      <c r="L6">
        <v>2449</v>
      </c>
      <c r="M6">
        <v>10463</v>
      </c>
      <c r="N6">
        <v>53073</v>
      </c>
      <c r="O6">
        <v>302</v>
      </c>
    </row>
    <row r="7" spans="1:15" x14ac:dyDescent="0.35">
      <c r="A7">
        <v>4120</v>
      </c>
      <c r="B7" t="s">
        <v>10</v>
      </c>
      <c r="C7">
        <f t="shared" ref="C7:D7" si="1">C8+C9+C10+C11+C12</f>
        <v>11117588</v>
      </c>
      <c r="D7">
        <f t="shared" si="1"/>
        <v>10587595</v>
      </c>
      <c r="E7">
        <f>E8+E9+E10+E11+E12</f>
        <v>10212446</v>
      </c>
      <c r="F7">
        <v>10304394</v>
      </c>
      <c r="G7">
        <v>9032875</v>
      </c>
      <c r="H7">
        <v>6622337</v>
      </c>
      <c r="I7">
        <v>5413970</v>
      </c>
      <c r="J7">
        <v>3893080</v>
      </c>
      <c r="K7">
        <v>3223358</v>
      </c>
      <c r="L7">
        <v>2440105</v>
      </c>
      <c r="M7">
        <v>1955631</v>
      </c>
      <c r="N7">
        <v>1904232</v>
      </c>
      <c r="O7">
        <v>1585723</v>
      </c>
    </row>
    <row r="8" spans="1:15" x14ac:dyDescent="0.35">
      <c r="A8">
        <v>4121</v>
      </c>
      <c r="B8" t="s">
        <v>11</v>
      </c>
      <c r="C8">
        <v>7995712</v>
      </c>
      <c r="D8">
        <v>7690042</v>
      </c>
      <c r="E8">
        <v>7299367</v>
      </c>
      <c r="F8">
        <v>7049848</v>
      </c>
      <c r="G8">
        <v>6158322</v>
      </c>
      <c r="H8">
        <v>4436749</v>
      </c>
      <c r="I8">
        <v>3613726</v>
      </c>
      <c r="J8">
        <v>2562782</v>
      </c>
      <c r="K8">
        <v>2012229</v>
      </c>
      <c r="L8">
        <v>1673594</v>
      </c>
      <c r="M8">
        <v>1216808</v>
      </c>
      <c r="N8">
        <v>1149184</v>
      </c>
      <c r="O8">
        <v>999829</v>
      </c>
    </row>
    <row r="9" spans="1:15" x14ac:dyDescent="0.35">
      <c r="A9">
        <v>4122</v>
      </c>
      <c r="B9" t="s">
        <v>12</v>
      </c>
      <c r="C9">
        <v>2380276</v>
      </c>
      <c r="D9">
        <v>2217803</v>
      </c>
      <c r="E9">
        <v>2190358</v>
      </c>
      <c r="F9">
        <v>2242591</v>
      </c>
      <c r="G9">
        <v>1974487</v>
      </c>
      <c r="H9">
        <v>1659028</v>
      </c>
      <c r="I9">
        <v>1336666</v>
      </c>
      <c r="J9">
        <v>996467</v>
      </c>
      <c r="K9">
        <v>855469</v>
      </c>
      <c r="L9">
        <v>713112</v>
      </c>
      <c r="M9">
        <v>410595</v>
      </c>
      <c r="N9">
        <v>426469</v>
      </c>
      <c r="O9">
        <v>407026</v>
      </c>
    </row>
    <row r="10" spans="1:15" x14ac:dyDescent="0.35">
      <c r="A10">
        <v>4123</v>
      </c>
      <c r="B10" t="s">
        <v>13</v>
      </c>
      <c r="C10">
        <v>358645</v>
      </c>
      <c r="D10">
        <v>323891</v>
      </c>
      <c r="E10">
        <v>398762</v>
      </c>
      <c r="F10">
        <v>402330</v>
      </c>
      <c r="G10">
        <v>313376</v>
      </c>
      <c r="H10">
        <v>306270</v>
      </c>
      <c r="I10">
        <v>152937</v>
      </c>
      <c r="J10">
        <v>141858</v>
      </c>
      <c r="K10">
        <v>202377</v>
      </c>
      <c r="L10">
        <v>24579</v>
      </c>
      <c r="M10">
        <v>88466</v>
      </c>
      <c r="N10">
        <v>9626</v>
      </c>
      <c r="O10">
        <v>26355</v>
      </c>
    </row>
    <row r="11" spans="1:15" x14ac:dyDescent="0.35">
      <c r="A11">
        <v>4124</v>
      </c>
      <c r="B11" t="s">
        <v>14</v>
      </c>
      <c r="C11">
        <v>367724</v>
      </c>
      <c r="D11">
        <v>345891</v>
      </c>
      <c r="E11">
        <v>312692</v>
      </c>
      <c r="F11">
        <v>353779</v>
      </c>
      <c r="G11">
        <v>275532</v>
      </c>
      <c r="H11">
        <v>172819</v>
      </c>
      <c r="I11">
        <v>247242</v>
      </c>
      <c r="J11">
        <v>164510</v>
      </c>
      <c r="K11">
        <v>123415</v>
      </c>
      <c r="L11">
        <v>57893</v>
      </c>
      <c r="M11">
        <v>26861</v>
      </c>
      <c r="N11">
        <v>38311</v>
      </c>
      <c r="O11">
        <v>59431</v>
      </c>
    </row>
    <row r="12" spans="1:15" x14ac:dyDescent="0.35">
      <c r="A12">
        <v>4129</v>
      </c>
      <c r="B12" t="s">
        <v>15</v>
      </c>
      <c r="C12">
        <v>15231</v>
      </c>
      <c r="D12">
        <v>9968</v>
      </c>
      <c r="E12">
        <v>11267</v>
      </c>
      <c r="F12">
        <v>7687</v>
      </c>
      <c r="G12">
        <v>7267</v>
      </c>
      <c r="H12">
        <v>35270</v>
      </c>
      <c r="I12">
        <v>47261</v>
      </c>
      <c r="J12">
        <v>27463</v>
      </c>
      <c r="K12">
        <v>29868</v>
      </c>
      <c r="L12">
        <v>28820</v>
      </c>
      <c r="M12" t="s">
        <v>4</v>
      </c>
      <c r="N12">
        <v>280642</v>
      </c>
      <c r="O12">
        <v>93082</v>
      </c>
    </row>
    <row r="13" spans="1:15" x14ac:dyDescent="0.35">
      <c r="A13">
        <v>4100</v>
      </c>
      <c r="B13" t="s">
        <v>16</v>
      </c>
      <c r="C13">
        <f t="shared" ref="C13:D13" si="2">C2-C7</f>
        <v>1375995</v>
      </c>
      <c r="D13">
        <f t="shared" si="2"/>
        <v>1329029</v>
      </c>
      <c r="E13">
        <f>E2-E7</f>
        <v>875510</v>
      </c>
      <c r="F13">
        <v>564771</v>
      </c>
      <c r="G13">
        <v>850135</v>
      </c>
      <c r="H13">
        <v>796481</v>
      </c>
      <c r="I13">
        <v>25276</v>
      </c>
      <c r="J13">
        <v>611588</v>
      </c>
      <c r="K13">
        <v>262139</v>
      </c>
      <c r="L13">
        <v>290928</v>
      </c>
      <c r="M13">
        <v>68469</v>
      </c>
      <c r="N13">
        <v>75664</v>
      </c>
      <c r="O13">
        <v>93292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E17" sqref="E17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4210</v>
      </c>
      <c r="B2" t="s">
        <v>5</v>
      </c>
      <c r="C2" t="s">
        <v>4</v>
      </c>
      <c r="D2" t="s">
        <v>4</v>
      </c>
      <c r="E2">
        <v>39985</v>
      </c>
      <c r="F2">
        <v>60000</v>
      </c>
      <c r="G2" t="s">
        <v>4</v>
      </c>
      <c r="H2" t="s">
        <v>4</v>
      </c>
      <c r="I2" t="s">
        <v>4</v>
      </c>
      <c r="J2" t="s">
        <v>4</v>
      </c>
      <c r="K2">
        <v>10192</v>
      </c>
      <c r="L2">
        <v>4967</v>
      </c>
      <c r="M2">
        <v>66280</v>
      </c>
      <c r="N2" t="s">
        <v>4</v>
      </c>
      <c r="O2">
        <v>78962</v>
      </c>
    </row>
    <row r="3" spans="1:15" x14ac:dyDescent="0.35">
      <c r="A3">
        <v>4211</v>
      </c>
      <c r="B3" t="s">
        <v>17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>
        <v>11373</v>
      </c>
    </row>
    <row r="4" spans="1:15" x14ac:dyDescent="0.35">
      <c r="A4">
        <v>4212</v>
      </c>
      <c r="B4" t="s">
        <v>18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4</v>
      </c>
    </row>
    <row r="5" spans="1:15" x14ac:dyDescent="0.35">
      <c r="A5">
        <v>4214</v>
      </c>
      <c r="B5" t="s">
        <v>19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>
        <v>10192</v>
      </c>
      <c r="L5">
        <v>4967</v>
      </c>
      <c r="M5" t="s">
        <v>4</v>
      </c>
      <c r="N5" t="s">
        <v>4</v>
      </c>
      <c r="O5">
        <v>15530</v>
      </c>
    </row>
    <row r="6" spans="1:15" x14ac:dyDescent="0.35">
      <c r="A6">
        <v>4219</v>
      </c>
      <c r="B6" t="s">
        <v>9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</row>
    <row r="7" spans="1:15" x14ac:dyDescent="0.35">
      <c r="A7">
        <v>4220</v>
      </c>
      <c r="B7" t="s">
        <v>10</v>
      </c>
      <c r="C7">
        <v>682371</v>
      </c>
      <c r="D7">
        <v>1170752</v>
      </c>
      <c r="E7">
        <v>587630</v>
      </c>
      <c r="F7">
        <v>3975723</v>
      </c>
      <c r="G7">
        <v>466969</v>
      </c>
      <c r="H7">
        <v>1200836</v>
      </c>
      <c r="I7">
        <v>1716876</v>
      </c>
      <c r="J7">
        <v>149176</v>
      </c>
      <c r="K7">
        <v>81564</v>
      </c>
      <c r="L7">
        <v>545584</v>
      </c>
      <c r="M7">
        <v>1169815</v>
      </c>
      <c r="N7">
        <v>500204</v>
      </c>
      <c r="O7">
        <v>83352</v>
      </c>
    </row>
    <row r="8" spans="1:15" x14ac:dyDescent="0.35">
      <c r="A8">
        <v>4221</v>
      </c>
      <c r="B8" t="s">
        <v>20</v>
      </c>
      <c r="C8">
        <v>682371</v>
      </c>
      <c r="D8">
        <v>1112769</v>
      </c>
      <c r="E8">
        <v>587603</v>
      </c>
      <c r="F8">
        <v>413339</v>
      </c>
      <c r="G8">
        <v>460892</v>
      </c>
      <c r="H8">
        <v>1199606</v>
      </c>
      <c r="I8">
        <v>1716876</v>
      </c>
      <c r="J8">
        <v>149176</v>
      </c>
      <c r="K8">
        <v>81564</v>
      </c>
      <c r="L8">
        <v>386423</v>
      </c>
      <c r="M8">
        <v>1116276</v>
      </c>
      <c r="N8">
        <v>433924</v>
      </c>
      <c r="O8">
        <v>32090</v>
      </c>
    </row>
    <row r="9" spans="1:15" x14ac:dyDescent="0.35">
      <c r="A9">
        <v>4222</v>
      </c>
      <c r="B9" t="s">
        <v>21</v>
      </c>
      <c r="C9" t="s">
        <v>4</v>
      </c>
      <c r="D9" t="s">
        <v>4</v>
      </c>
      <c r="E9">
        <v>27</v>
      </c>
      <c r="F9" t="s">
        <v>4</v>
      </c>
      <c r="G9">
        <v>32</v>
      </c>
      <c r="H9">
        <v>10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O9" t="s">
        <v>4</v>
      </c>
    </row>
    <row r="10" spans="1:15" x14ac:dyDescent="0.35">
      <c r="A10">
        <v>4223</v>
      </c>
      <c r="B10" t="s">
        <v>22</v>
      </c>
      <c r="C10" t="s">
        <v>4</v>
      </c>
      <c r="D10">
        <v>57983</v>
      </c>
      <c r="E10" t="s">
        <v>4</v>
      </c>
      <c r="F10">
        <v>3562384</v>
      </c>
      <c r="G10">
        <v>6045</v>
      </c>
      <c r="H10">
        <v>1220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>
        <v>66280</v>
      </c>
      <c r="O10">
        <v>51262</v>
      </c>
    </row>
    <row r="11" spans="1:15" x14ac:dyDescent="0.35">
      <c r="A11">
        <v>4224</v>
      </c>
      <c r="B11" t="s">
        <v>23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>
        <v>159161</v>
      </c>
      <c r="M11">
        <v>53539</v>
      </c>
      <c r="N11" t="s">
        <v>4</v>
      </c>
      <c r="O11" t="s">
        <v>4</v>
      </c>
    </row>
    <row r="12" spans="1:15" x14ac:dyDescent="0.35">
      <c r="A12">
        <v>4229</v>
      </c>
      <c r="B12" t="s">
        <v>24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  <c r="O12" t="s">
        <v>4</v>
      </c>
    </row>
    <row r="13" spans="1:15" x14ac:dyDescent="0.35">
      <c r="A13">
        <v>4200</v>
      </c>
      <c r="B13" t="s">
        <v>25</v>
      </c>
      <c r="C13">
        <v>-682371</v>
      </c>
      <c r="D13">
        <v>-1170752</v>
      </c>
      <c r="E13">
        <f>E2-E7</f>
        <v>-547645</v>
      </c>
      <c r="F13">
        <v>-3915723</v>
      </c>
      <c r="G13">
        <v>-466969</v>
      </c>
      <c r="H13">
        <v>-1200836</v>
      </c>
      <c r="I13">
        <v>-1716876</v>
      </c>
      <c r="J13">
        <v>-149176</v>
      </c>
      <c r="K13">
        <v>-71372</v>
      </c>
      <c r="L13">
        <v>-540617</v>
      </c>
      <c r="M13">
        <v>-1103535</v>
      </c>
      <c r="N13">
        <v>-500204</v>
      </c>
      <c r="O13">
        <v>-4390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N6" sqref="N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4310</v>
      </c>
      <c r="B2" t="s">
        <v>5</v>
      </c>
      <c r="C2">
        <v>442678</v>
      </c>
      <c r="D2">
        <v>890065</v>
      </c>
      <c r="E2">
        <v>2799382</v>
      </c>
      <c r="F2">
        <v>3772000</v>
      </c>
      <c r="G2">
        <v>156600</v>
      </c>
      <c r="H2">
        <v>816201</v>
      </c>
      <c r="I2">
        <v>1989852</v>
      </c>
      <c r="J2">
        <v>882436</v>
      </c>
      <c r="K2">
        <v>987864</v>
      </c>
      <c r="L2">
        <v>300000</v>
      </c>
      <c r="M2">
        <v>1112531</v>
      </c>
      <c r="N2">
        <v>488982</v>
      </c>
      <c r="O2">
        <v>790036</v>
      </c>
    </row>
    <row r="3" spans="1:15" x14ac:dyDescent="0.35">
      <c r="A3">
        <v>4311</v>
      </c>
      <c r="B3" t="s">
        <v>26</v>
      </c>
      <c r="C3">
        <v>1104373</v>
      </c>
      <c r="D3">
        <v>2843581</v>
      </c>
      <c r="E3">
        <v>2799382</v>
      </c>
      <c r="F3">
        <v>3772000</v>
      </c>
      <c r="G3">
        <v>156600</v>
      </c>
      <c r="H3">
        <v>816201</v>
      </c>
      <c r="I3">
        <v>1989852</v>
      </c>
      <c r="J3" t="s">
        <v>4</v>
      </c>
      <c r="K3" t="s">
        <v>4</v>
      </c>
      <c r="L3">
        <v>300000</v>
      </c>
      <c r="M3">
        <v>1112531</v>
      </c>
      <c r="N3">
        <v>488982</v>
      </c>
      <c r="O3" t="s">
        <v>4</v>
      </c>
    </row>
    <row r="4" spans="1:15" x14ac:dyDescent="0.35">
      <c r="A4">
        <v>4312</v>
      </c>
      <c r="B4" t="s">
        <v>27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4</v>
      </c>
    </row>
    <row r="5" spans="1:15" x14ac:dyDescent="0.35">
      <c r="A5">
        <v>4313</v>
      </c>
      <c r="B5" t="s">
        <v>28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  <c r="O5" t="s">
        <v>4</v>
      </c>
    </row>
    <row r="6" spans="1:15" x14ac:dyDescent="0.35">
      <c r="A6">
        <v>4314</v>
      </c>
      <c r="B6" t="s">
        <v>29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</row>
    <row r="7" spans="1:15" x14ac:dyDescent="0.35">
      <c r="A7">
        <v>4319</v>
      </c>
      <c r="B7" t="s">
        <v>9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</row>
    <row r="8" spans="1:15" x14ac:dyDescent="0.35">
      <c r="A8">
        <v>4320</v>
      </c>
      <c r="B8" t="s">
        <v>10</v>
      </c>
      <c r="C8">
        <v>562841</v>
      </c>
      <c r="D8">
        <v>312500</v>
      </c>
      <c r="E8">
        <v>487392</v>
      </c>
      <c r="F8">
        <v>778703</v>
      </c>
      <c r="G8">
        <v>179000</v>
      </c>
      <c r="H8">
        <v>299501</v>
      </c>
      <c r="I8">
        <v>362352</v>
      </c>
      <c r="J8">
        <v>433000</v>
      </c>
      <c r="K8">
        <v>187000</v>
      </c>
      <c r="L8">
        <v>29000</v>
      </c>
      <c r="M8" t="s">
        <v>4</v>
      </c>
      <c r="N8">
        <v>180180</v>
      </c>
      <c r="O8">
        <v>110333</v>
      </c>
    </row>
    <row r="9" spans="1:15" x14ac:dyDescent="0.35">
      <c r="A9">
        <v>4321</v>
      </c>
      <c r="B9" t="s">
        <v>30</v>
      </c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O9" t="s">
        <v>4</v>
      </c>
    </row>
    <row r="10" spans="1:15" x14ac:dyDescent="0.35">
      <c r="A10">
        <v>4322</v>
      </c>
      <c r="B10" t="s">
        <v>31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</row>
    <row r="11" spans="1:15" x14ac:dyDescent="0.35">
      <c r="A11">
        <v>4323</v>
      </c>
      <c r="B11" t="s">
        <v>32</v>
      </c>
      <c r="C11">
        <v>562841</v>
      </c>
      <c r="D11">
        <v>312500</v>
      </c>
      <c r="E11">
        <v>445082</v>
      </c>
      <c r="F11">
        <v>777953</v>
      </c>
      <c r="G11">
        <v>172500</v>
      </c>
      <c r="H11">
        <v>230001</v>
      </c>
      <c r="I11">
        <v>302052</v>
      </c>
      <c r="J11">
        <v>433000</v>
      </c>
      <c r="K11">
        <v>187000</v>
      </c>
      <c r="L11">
        <v>29000</v>
      </c>
      <c r="M11" t="s">
        <v>4</v>
      </c>
      <c r="N11">
        <v>180180</v>
      </c>
      <c r="O11">
        <v>110333</v>
      </c>
    </row>
    <row r="12" spans="1:15" x14ac:dyDescent="0.35">
      <c r="A12">
        <v>4329</v>
      </c>
      <c r="B12" t="s">
        <v>15</v>
      </c>
      <c r="C12" t="s">
        <v>4</v>
      </c>
      <c r="D12" t="s">
        <v>4</v>
      </c>
      <c r="E12">
        <v>42310</v>
      </c>
      <c r="F12" t="s">
        <v>4</v>
      </c>
      <c r="G12" t="s">
        <v>4</v>
      </c>
      <c r="H12" t="s">
        <v>4</v>
      </c>
      <c r="I12">
        <v>60300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  <c r="O12" t="s">
        <v>4</v>
      </c>
    </row>
    <row r="13" spans="1:15" x14ac:dyDescent="0.35">
      <c r="A13">
        <v>4300</v>
      </c>
      <c r="B13" t="s">
        <v>33</v>
      </c>
      <c r="C13">
        <f t="shared" ref="C13:D13" si="0">C2-C8</f>
        <v>-120163</v>
      </c>
      <c r="D13">
        <f t="shared" si="0"/>
        <v>577565</v>
      </c>
      <c r="E13">
        <f>E2-E8</f>
        <v>2311990</v>
      </c>
      <c r="F13">
        <v>2993297</v>
      </c>
      <c r="G13">
        <v>-22400</v>
      </c>
      <c r="H13">
        <v>516700</v>
      </c>
      <c r="I13">
        <v>1627500</v>
      </c>
      <c r="J13">
        <v>-433000</v>
      </c>
      <c r="K13">
        <v>-187000</v>
      </c>
      <c r="L13">
        <v>271000</v>
      </c>
      <c r="M13">
        <v>1112531</v>
      </c>
      <c r="N13">
        <v>308802</v>
      </c>
      <c r="O13">
        <v>-110333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2025-05-22T13:59:40Z</dcterms:created>
  <dcterms:modified xsi:type="dcterms:W3CDTF">2025-05-24T18:08:57Z</dcterms:modified>
</cp:coreProperties>
</file>