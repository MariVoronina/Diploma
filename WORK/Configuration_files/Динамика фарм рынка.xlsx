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 activeTab="1"/>
  </bookViews>
  <sheets>
    <sheet name="Лист1" sheetId="1" r:id="rId1"/>
    <sheet name="Лист2" sheetId="2" r:id="rId2"/>
    <sheet name="Лист3" sheetId="3" r:id="rId3"/>
    <sheet name="Лист4" sheetId="4" r:id="rId4"/>
  </sheets>
  <calcPr calcId="144525"/>
</workbook>
</file>

<file path=xl/calcChain.xml><?xml version="1.0" encoding="utf-8"?>
<calcChain xmlns="http://schemas.openxmlformats.org/spreadsheetml/2006/main">
  <c r="B21" i="2" l="1"/>
  <c r="B21" i="1"/>
</calcChain>
</file>

<file path=xl/sharedStrings.xml><?xml version="1.0" encoding="utf-8"?>
<sst xmlns="http://schemas.openxmlformats.org/spreadsheetml/2006/main" count="93" uniqueCount="92">
  <si>
    <t>Корпорация</t>
  </si>
  <si>
    <t>Novartis</t>
  </si>
  <si>
    <t>Фармстандарт</t>
  </si>
  <si>
    <t>Gedeon Richter</t>
  </si>
  <si>
    <t xml:space="preserve"> AstraZeneca</t>
  </si>
  <si>
    <t xml:space="preserve"> Polpharma </t>
  </si>
  <si>
    <t xml:space="preserve"> A.Menarin</t>
  </si>
  <si>
    <t xml:space="preserve"> Haleon</t>
  </si>
  <si>
    <t xml:space="preserve"> Вертекс</t>
  </si>
  <si>
    <t>Dr.Reddy's</t>
  </si>
  <si>
    <r>
      <rPr>
        <sz val="11"/>
        <rFont val="Cambria"/>
        <family val="1"/>
      </rPr>
      <t>Байер</t>
    </r>
  </si>
  <si>
    <r>
      <rPr>
        <sz val="11"/>
        <rFont val="Cambria"/>
        <family val="1"/>
      </rPr>
      <t>Нижфарм</t>
    </r>
  </si>
  <si>
    <r>
      <rPr>
        <sz val="11"/>
        <rFont val="Cambria"/>
        <family val="1"/>
      </rPr>
      <t>Эбботт</t>
    </r>
  </si>
  <si>
    <r>
      <rPr>
        <sz val="11"/>
        <rFont val="Cambria"/>
        <family val="1"/>
      </rPr>
      <t>Сервье</t>
    </r>
  </si>
  <si>
    <r>
      <rPr>
        <sz val="11"/>
        <rFont val="Cambria"/>
        <family val="1"/>
      </rPr>
      <t>Отисифарм</t>
    </r>
  </si>
  <si>
    <r>
      <rPr>
        <sz val="11"/>
        <rFont val="Cambria"/>
        <family val="1"/>
      </rPr>
      <t>Биннофарм групп</t>
    </r>
  </si>
  <si>
    <r>
      <rPr>
        <sz val="11"/>
        <rFont val="Cambria"/>
        <family val="1"/>
      </rPr>
      <t>Санофи</t>
    </r>
  </si>
  <si>
    <r>
      <rPr>
        <sz val="11"/>
        <rFont val="Cambria"/>
        <family val="1"/>
      </rPr>
      <t>Озон Фармацевтика</t>
    </r>
  </si>
  <si>
    <r>
      <rPr>
        <sz val="11"/>
        <rFont val="Cambria"/>
        <family val="1"/>
      </rPr>
      <t>КРКА</t>
    </r>
  </si>
  <si>
    <r>
      <rPr>
        <sz val="11"/>
        <rFont val="Cambria"/>
        <family val="1"/>
      </rPr>
      <t>Тева</t>
    </r>
  </si>
  <si>
    <t>Прочие (чья доля на рынке &lt; 1,7)</t>
  </si>
  <si>
    <t xml:space="preserve"> </t>
  </si>
  <si>
    <t>Название аптечной сети (штаб-квартира)</t>
  </si>
  <si>
    <r>
      <rPr>
        <sz val="11"/>
        <rFont val="Cambria"/>
        <family val="1"/>
      </rPr>
      <t>Доля рынка, %</t>
    </r>
  </si>
  <si>
    <r>
      <rPr>
        <sz val="11"/>
        <rFont val="Cambria"/>
        <family val="1"/>
      </rPr>
      <t>32,1%</t>
    </r>
  </si>
  <si>
    <r>
      <rPr>
        <sz val="11"/>
        <rFont val="Cambria"/>
        <family val="1"/>
      </rPr>
      <t>3 658</t>
    </r>
  </si>
  <si>
    <r>
      <rPr>
        <sz val="11"/>
        <rFont val="Cambria"/>
        <family val="1"/>
      </rPr>
      <t>14%</t>
    </r>
  </si>
  <si>
    <r>
      <rPr>
        <sz val="11"/>
        <rFont val="Cambria"/>
        <family val="1"/>
      </rPr>
      <t>10,8%</t>
    </r>
  </si>
  <si>
    <r>
      <rPr>
        <sz val="11"/>
        <rFont val="Cambria"/>
        <family val="1"/>
      </rPr>
      <t>3 586</t>
    </r>
  </si>
  <si>
    <r>
      <rPr>
        <sz val="11"/>
        <rFont val="Cambria"/>
        <family val="1"/>
      </rPr>
      <t>10%</t>
    </r>
  </si>
  <si>
    <r>
      <rPr>
        <sz val="11"/>
        <rFont val="Cambria"/>
        <family val="1"/>
      </rPr>
      <t>12,3%</t>
    </r>
  </si>
  <si>
    <r>
      <rPr>
        <sz val="11"/>
        <rFont val="Cambria"/>
        <family val="1"/>
      </rPr>
      <t>3 410</t>
    </r>
  </si>
  <si>
    <r>
      <rPr>
        <sz val="11"/>
        <rFont val="Cambria"/>
        <family val="1"/>
      </rPr>
      <t>17%</t>
    </r>
  </si>
  <si>
    <r>
      <rPr>
        <sz val="11"/>
        <rFont val="Cambria"/>
        <family val="1"/>
      </rPr>
      <t>8,3%</t>
    </r>
  </si>
  <si>
    <r>
      <rPr>
        <sz val="11"/>
        <rFont val="Cambria"/>
        <family val="1"/>
      </rPr>
      <t>3 096</t>
    </r>
  </si>
  <si>
    <r>
      <rPr>
        <sz val="11"/>
        <rFont val="Cambria"/>
        <family val="1"/>
      </rPr>
      <t>18%</t>
    </r>
  </si>
  <si>
    <r>
      <rPr>
        <sz val="11"/>
        <rFont val="Cambria"/>
        <family val="1"/>
      </rPr>
      <t>3 000</t>
    </r>
  </si>
  <si>
    <r>
      <rPr>
        <sz val="11"/>
        <rFont val="Cambria"/>
        <family val="1"/>
      </rPr>
      <t>11%</t>
    </r>
  </si>
  <si>
    <r>
      <rPr>
        <sz val="11"/>
        <rFont val="Cambria"/>
        <family val="1"/>
      </rPr>
      <t>17,7%</t>
    </r>
  </si>
  <si>
    <r>
      <rPr>
        <sz val="11"/>
        <rFont val="Cambria"/>
        <family val="1"/>
      </rPr>
      <t>2 871</t>
    </r>
  </si>
  <si>
    <r>
      <rPr>
        <sz val="11"/>
        <rFont val="Cambria"/>
        <family val="1"/>
      </rPr>
      <t>15%</t>
    </r>
  </si>
  <si>
    <r>
      <rPr>
        <sz val="11"/>
        <rFont val="Cambria"/>
        <family val="1"/>
      </rPr>
      <t>4,6%</t>
    </r>
  </si>
  <si>
    <r>
      <rPr>
        <sz val="11"/>
        <rFont val="Cambria"/>
        <family val="1"/>
      </rPr>
      <t>2 712</t>
    </r>
  </si>
  <si>
    <r>
      <rPr>
        <sz val="11"/>
        <rFont val="Cambria"/>
        <family val="1"/>
      </rPr>
      <t>2%</t>
    </r>
  </si>
  <si>
    <r>
      <rPr>
        <sz val="11"/>
        <rFont val="Cambria"/>
        <family val="1"/>
      </rPr>
      <t>3,4%</t>
    </r>
  </si>
  <si>
    <r>
      <rPr>
        <sz val="11"/>
        <rFont val="Cambria"/>
        <family val="1"/>
      </rPr>
      <t>1 505</t>
    </r>
  </si>
  <si>
    <r>
      <rPr>
        <sz val="11"/>
        <rFont val="Cambria"/>
        <family val="1"/>
      </rPr>
      <t>16%</t>
    </r>
  </si>
  <si>
    <t>ФО</t>
  </si>
  <si>
    <t>Доля ФО, руб. (%)</t>
  </si>
  <si>
    <t>Расходы
на 1 чел., руб.</t>
  </si>
  <si>
    <t>Прирост, руб. Q'1 2025/ Q'1 2024</t>
  </si>
  <si>
    <t>УФО</t>
  </si>
  <si>
    <t>ДФО</t>
  </si>
  <si>
    <t>ЦФО</t>
  </si>
  <si>
    <t>СЗФО</t>
  </si>
  <si>
    <t>СФО</t>
  </si>
  <si>
    <t>ЮФО</t>
  </si>
  <si>
    <t>ПФО</t>
  </si>
  <si>
    <t>СКФО</t>
  </si>
  <si>
    <r>
      <rPr>
        <sz val="11"/>
        <rFont val="Cambria"/>
        <family val="1"/>
      </rPr>
      <t>ЦФО</t>
    </r>
  </si>
  <si>
    <r>
      <rPr>
        <sz val="10"/>
        <rFont val="Cambria"/>
        <family val="1"/>
      </rPr>
      <t>ФО</t>
    </r>
  </si>
  <si>
    <r>
      <rPr>
        <sz val="11"/>
        <rFont val="Cambria"/>
        <family val="1"/>
      </rPr>
      <t>СЗФО</t>
    </r>
  </si>
  <si>
    <r>
      <rPr>
        <sz val="11"/>
        <rFont val="Cambria"/>
        <family val="1"/>
      </rPr>
      <t>ЮФО</t>
    </r>
  </si>
  <si>
    <r>
      <rPr>
        <sz val="11"/>
        <rFont val="Cambria"/>
        <family val="1"/>
      </rPr>
      <t>УФО</t>
    </r>
  </si>
  <si>
    <r>
      <rPr>
        <sz val="11"/>
        <rFont val="Cambria"/>
        <family val="1"/>
      </rPr>
      <t>СФО</t>
    </r>
  </si>
  <si>
    <r>
      <rPr>
        <sz val="11"/>
        <rFont val="Cambria"/>
        <family val="1"/>
      </rPr>
      <t>ПФО</t>
    </r>
  </si>
  <si>
    <r>
      <rPr>
        <sz val="11"/>
        <rFont val="Cambria"/>
        <family val="1"/>
      </rPr>
      <t>ДФО</t>
    </r>
  </si>
  <si>
    <r>
      <rPr>
        <sz val="11"/>
        <rFont val="Cambria"/>
        <family val="1"/>
      </rPr>
      <t>СКФО</t>
    </r>
  </si>
  <si>
    <r>
      <rPr>
        <sz val="10"/>
        <rFont val="Cambria"/>
        <family val="1"/>
      </rPr>
      <t>Доля ФО, руб. (%)</t>
    </r>
  </si>
  <si>
    <r>
      <rPr>
        <sz val="10"/>
        <rFont val="Cambria"/>
        <family val="1"/>
      </rPr>
      <t>Расходы
на 1 чел., руб.</t>
    </r>
  </si>
  <si>
    <r>
      <rPr>
        <sz val="10"/>
        <rFont val="Cambria"/>
        <family val="1"/>
      </rPr>
      <t>Прирост, руб. Q'1 2025/ Q'1 2024</t>
    </r>
  </si>
  <si>
    <t>Е-аптека</t>
  </si>
  <si>
    <t xml:space="preserve">Максавит </t>
  </si>
  <si>
    <t>Фармаимпекс</t>
  </si>
  <si>
    <t>Магнит</t>
  </si>
  <si>
    <t xml:space="preserve">Здоров.ру </t>
  </si>
  <si>
    <t>Социальная аптек</t>
  </si>
  <si>
    <t>Алоэ</t>
  </si>
  <si>
    <t>Губернские аптеки</t>
  </si>
  <si>
    <t>Аптека Невис</t>
  </si>
  <si>
    <t>Апрель</t>
  </si>
  <si>
    <t>Ригла</t>
  </si>
  <si>
    <t>Планета здоровья</t>
  </si>
  <si>
    <t>Имплозия</t>
  </si>
  <si>
    <t>Группа 36,6</t>
  </si>
  <si>
    <t>Нео-фарм</t>
  </si>
  <si>
    <t>Фармленд</t>
  </si>
  <si>
    <t>Вита</t>
  </si>
  <si>
    <t>Эрка&amp;МЗ</t>
  </si>
  <si>
    <t>Ирис</t>
  </si>
  <si>
    <t>Прочие (чья доля на рынке &lt; 0,9)</t>
  </si>
  <si>
    <t>Доля, руб.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</si>
</sst>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  <charset val="204"/>
    </font>
    <font>
      <sz val="11"/>
      <name val="Cambria"/>
      <family val="1"/>
    </font>
    <font>
      <sz val="10"/>
      <name val="Cambria"/>
      <family val="1"/>
    </font>
    <font>
      <sz val="12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/>
    <xf numFmtId="0" fontId="1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0" fillId="0" borderId="0" xfId="0" applyAlignment="1">
      <alignment wrapText="1"/>
    </xf>
    <xf numFmtId="2" fontId="0" fillId="0" borderId="0" xfId="0" applyNumberFormat="1"/>
    <xf numFmtId="10" fontId="0" fillId="0" borderId="0" xfId="0" applyNumberFormat="1"/>
    <xf numFmtId="3" fontId="0" fillId="0" borderId="0" xfId="0" applyNumberFormat="1"/>
    <xf numFmtId="9" fontId="0" fillId="0" borderId="0" xfId="0" applyNumberFormat="1"/>
    <xf numFmtId="0" fontId="1" fillId="0" borderId="0" xfId="0" applyFont="1" applyAlignment="1">
      <alignment wrapText="1"/>
    </xf>
    <xf numFmtId="0" fontId="5" fillId="0" borderId="0" xfId="0" applyFont="1"/>
    <xf numFmtId="0" fontId="3" fillId="0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4.5" x14ac:dyDescent="0.35"/>
  <cols>
    <col min="1" max="1" width="19.1796875" customWidth="1"/>
    <col min="2" max="2" width="16.36328125" customWidth="1"/>
  </cols>
  <sheetData>
    <row r="1" spans="1:2" s="2" customFormat="1" ht="14.5" customHeight="1" x14ac:dyDescent="0.35">
      <c r="A1" s="4" t="s">
        <v>0</v>
      </c>
      <c r="B1" s="12" t="s">
        <v>91</v>
      </c>
    </row>
    <row r="2" spans="1:2" x14ac:dyDescent="0.35">
      <c r="A2" t="s">
        <v>10</v>
      </c>
      <c r="B2" s="1">
        <v>3.46</v>
      </c>
    </row>
    <row r="3" spans="1:2" ht="14.5" customHeight="1" x14ac:dyDescent="0.35">
      <c r="A3" t="s">
        <v>11</v>
      </c>
      <c r="B3" s="1">
        <v>3.37</v>
      </c>
    </row>
    <row r="4" spans="1:2" x14ac:dyDescent="0.35">
      <c r="A4" t="s">
        <v>12</v>
      </c>
      <c r="B4" s="1">
        <v>3.2</v>
      </c>
    </row>
    <row r="5" spans="1:2" x14ac:dyDescent="0.35">
      <c r="A5" t="s">
        <v>13</v>
      </c>
      <c r="B5" s="1">
        <v>3.15</v>
      </c>
    </row>
    <row r="6" spans="1:2" ht="14.5" customHeight="1" x14ac:dyDescent="0.35">
      <c r="A6" t="s">
        <v>14</v>
      </c>
      <c r="B6" s="1">
        <v>3.04</v>
      </c>
    </row>
    <row r="7" spans="1:2" ht="14.5" customHeight="1" x14ac:dyDescent="0.35">
      <c r="A7" t="s">
        <v>15</v>
      </c>
      <c r="B7" s="1">
        <v>2.8</v>
      </c>
    </row>
    <row r="8" spans="1:2" x14ac:dyDescent="0.35">
      <c r="A8" t="s">
        <v>16</v>
      </c>
      <c r="B8" s="1">
        <v>2.77</v>
      </c>
    </row>
    <row r="9" spans="1:2" ht="14.5" customHeight="1" x14ac:dyDescent="0.35">
      <c r="A9" t="s">
        <v>17</v>
      </c>
      <c r="B9" s="1">
        <v>2.67</v>
      </c>
    </row>
    <row r="10" spans="1:2" x14ac:dyDescent="0.35">
      <c r="A10" t="s">
        <v>18</v>
      </c>
      <c r="B10" s="1">
        <v>2.63</v>
      </c>
    </row>
    <row r="11" spans="1:2" x14ac:dyDescent="0.35">
      <c r="A11" t="s">
        <v>19</v>
      </c>
      <c r="B11" s="1">
        <v>2.59</v>
      </c>
    </row>
    <row r="12" spans="1:2" x14ac:dyDescent="0.35">
      <c r="A12" t="s">
        <v>1</v>
      </c>
      <c r="B12" s="6">
        <v>2.2999999999999998</v>
      </c>
    </row>
    <row r="13" spans="1:2" x14ac:dyDescent="0.35">
      <c r="A13" t="s">
        <v>2</v>
      </c>
      <c r="B13" s="6">
        <v>2.2000000000000002</v>
      </c>
    </row>
    <row r="14" spans="1:2" x14ac:dyDescent="0.35">
      <c r="A14" t="s">
        <v>3</v>
      </c>
      <c r="B14" s="6">
        <v>2.2000000000000002</v>
      </c>
    </row>
    <row r="15" spans="1:2" x14ac:dyDescent="0.35">
      <c r="A15" t="s">
        <v>4</v>
      </c>
      <c r="B15" s="6">
        <v>2</v>
      </c>
    </row>
    <row r="16" spans="1:2" x14ac:dyDescent="0.35">
      <c r="A16" t="s">
        <v>5</v>
      </c>
      <c r="B16" s="6">
        <v>2</v>
      </c>
    </row>
    <row r="17" spans="1:3" x14ac:dyDescent="0.35">
      <c r="A17" t="s">
        <v>6</v>
      </c>
      <c r="B17" s="6">
        <v>1.7</v>
      </c>
    </row>
    <row r="18" spans="1:3" x14ac:dyDescent="0.35">
      <c r="A18" t="s">
        <v>7</v>
      </c>
      <c r="B18" s="6">
        <v>1.7</v>
      </c>
    </row>
    <row r="19" spans="1:3" x14ac:dyDescent="0.35">
      <c r="A19" t="s">
        <v>8</v>
      </c>
      <c r="B19" s="6">
        <v>1.7</v>
      </c>
    </row>
    <row r="20" spans="1:3" x14ac:dyDescent="0.35">
      <c r="A20" t="s">
        <v>9</v>
      </c>
      <c r="B20" s="6">
        <v>1.7</v>
      </c>
    </row>
    <row r="21" spans="1:3" x14ac:dyDescent="0.35">
      <c r="A21" t="s">
        <v>20</v>
      </c>
      <c r="B21">
        <f>100-SUM(B2:B20)</f>
        <v>52.819999999999986</v>
      </c>
    </row>
    <row r="25" spans="1:3" x14ac:dyDescent="0.35">
      <c r="C25" t="s">
        <v>21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4.5" x14ac:dyDescent="0.35"/>
  <cols>
    <col min="1" max="1" width="32.08984375" customWidth="1"/>
    <col min="2" max="2" width="22.90625" customWidth="1"/>
  </cols>
  <sheetData>
    <row r="1" spans="1:2" ht="14.5" customHeight="1" x14ac:dyDescent="0.35">
      <c r="A1" s="4" t="s">
        <v>22</v>
      </c>
      <c r="B1" s="3" t="s">
        <v>23</v>
      </c>
    </row>
    <row r="2" spans="1:2" ht="15" customHeight="1" x14ac:dyDescent="0.35">
      <c r="A2" s="11" t="s">
        <v>80</v>
      </c>
      <c r="B2" s="1">
        <v>10.4</v>
      </c>
    </row>
    <row r="3" spans="1:2" ht="15" customHeight="1" x14ac:dyDescent="0.35">
      <c r="A3" s="11" t="s">
        <v>81</v>
      </c>
      <c r="B3" s="1">
        <v>10.3</v>
      </c>
    </row>
    <row r="4" spans="1:2" ht="15" customHeight="1" x14ac:dyDescent="0.35">
      <c r="A4" s="11" t="s">
        <v>82</v>
      </c>
      <c r="B4" s="1">
        <v>6</v>
      </c>
    </row>
    <row r="5" spans="1:2" ht="15" customHeight="1" x14ac:dyDescent="0.35">
      <c r="A5" s="11" t="s">
        <v>83</v>
      </c>
      <c r="B5" s="1">
        <v>5.0999999999999996</v>
      </c>
    </row>
    <row r="6" spans="1:2" ht="15" customHeight="1" x14ac:dyDescent="0.35">
      <c r="A6" s="11" t="s">
        <v>84</v>
      </c>
      <c r="B6" s="1">
        <v>4.9000000000000004</v>
      </c>
    </row>
    <row r="7" spans="1:2" ht="15" customHeight="1" x14ac:dyDescent="0.35">
      <c r="A7" s="11" t="s">
        <v>85</v>
      </c>
      <c r="B7" s="1">
        <v>4.7</v>
      </c>
    </row>
    <row r="8" spans="1:2" ht="15" customHeight="1" x14ac:dyDescent="0.35">
      <c r="A8" s="11" t="s">
        <v>86</v>
      </c>
      <c r="B8" s="1">
        <v>4.0999999999999996</v>
      </c>
    </row>
    <row r="9" spans="1:2" ht="15" customHeight="1" x14ac:dyDescent="0.35">
      <c r="A9" s="11" t="s">
        <v>87</v>
      </c>
      <c r="B9" s="1">
        <v>3.9</v>
      </c>
    </row>
    <row r="10" spans="1:2" ht="15" customHeight="1" x14ac:dyDescent="0.35">
      <c r="A10" s="11" t="s">
        <v>88</v>
      </c>
      <c r="B10" s="1">
        <v>3.5</v>
      </c>
    </row>
    <row r="11" spans="1:2" ht="15" customHeight="1" x14ac:dyDescent="0.35">
      <c r="A11" s="11" t="s">
        <v>89</v>
      </c>
      <c r="B11" s="1">
        <v>3.3</v>
      </c>
    </row>
    <row r="12" spans="1:2" ht="15.5" x14ac:dyDescent="0.35">
      <c r="A12" s="11" t="s">
        <v>71</v>
      </c>
      <c r="B12" s="1">
        <v>1.78</v>
      </c>
    </row>
    <row r="13" spans="1:2" ht="15.5" x14ac:dyDescent="0.35">
      <c r="A13" s="11" t="s">
        <v>72</v>
      </c>
      <c r="B13" s="1">
        <v>1.44</v>
      </c>
    </row>
    <row r="14" spans="1:2" ht="15.5" x14ac:dyDescent="0.35">
      <c r="A14" s="11" t="s">
        <v>73</v>
      </c>
      <c r="B14" s="1">
        <v>1.28</v>
      </c>
    </row>
    <row r="15" spans="1:2" ht="15.5" x14ac:dyDescent="0.35">
      <c r="A15" s="11" t="s">
        <v>74</v>
      </c>
      <c r="B15" s="1">
        <v>1.21</v>
      </c>
    </row>
    <row r="16" spans="1:2" ht="15.5" x14ac:dyDescent="0.35">
      <c r="A16" s="11" t="s">
        <v>75</v>
      </c>
      <c r="B16" s="1">
        <v>1.19</v>
      </c>
    </row>
    <row r="17" spans="1:2" ht="15.5" x14ac:dyDescent="0.35">
      <c r="A17" s="11" t="s">
        <v>76</v>
      </c>
      <c r="B17" s="1">
        <v>1.1499999999999999</v>
      </c>
    </row>
    <row r="18" spans="1:2" ht="15.5" x14ac:dyDescent="0.35">
      <c r="A18" s="11" t="s">
        <v>77</v>
      </c>
      <c r="B18" s="1">
        <v>0.95</v>
      </c>
    </row>
    <row r="19" spans="1:2" ht="15.5" x14ac:dyDescent="0.35">
      <c r="A19" s="11" t="s">
        <v>78</v>
      </c>
      <c r="B19" s="1">
        <v>0.93</v>
      </c>
    </row>
    <row r="20" spans="1:2" ht="15.5" x14ac:dyDescent="0.35">
      <c r="A20" s="11" t="s">
        <v>79</v>
      </c>
      <c r="B20" s="1">
        <v>0.91</v>
      </c>
    </row>
    <row r="21" spans="1:2" ht="15.5" x14ac:dyDescent="0.35">
      <c r="A21" s="11" t="s">
        <v>90</v>
      </c>
      <c r="B21">
        <f>100-SUM(B2:B20)</f>
        <v>32.959999999999994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11" sqref="A11"/>
    </sheetView>
  </sheetViews>
  <sheetFormatPr defaultRowHeight="14.5" x14ac:dyDescent="0.35"/>
  <sheetData>
    <row r="1" spans="1:5" ht="14.5" customHeight="1" x14ac:dyDescent="0.35">
      <c r="A1" s="1" t="s">
        <v>60</v>
      </c>
      <c r="B1" s="1" t="s">
        <v>68</v>
      </c>
      <c r="C1" s="10" t="s">
        <v>69</v>
      </c>
      <c r="D1" s="1" t="s">
        <v>70</v>
      </c>
      <c r="E1" s="1"/>
    </row>
    <row r="2" spans="1:5" x14ac:dyDescent="0.35">
      <c r="A2" s="1" t="s">
        <v>59</v>
      </c>
      <c r="B2" s="7" t="s">
        <v>24</v>
      </c>
      <c r="C2" s="8" t="s">
        <v>25</v>
      </c>
      <c r="D2" t="s">
        <v>26</v>
      </c>
    </row>
    <row r="3" spans="1:5" x14ac:dyDescent="0.35">
      <c r="A3" s="1" t="s">
        <v>61</v>
      </c>
      <c r="B3" s="7" t="s">
        <v>27</v>
      </c>
      <c r="C3" s="8" t="s">
        <v>28</v>
      </c>
      <c r="D3" t="s">
        <v>29</v>
      </c>
    </row>
    <row r="4" spans="1:5" x14ac:dyDescent="0.35">
      <c r="A4" s="1" t="s">
        <v>62</v>
      </c>
      <c r="B4" s="7" t="s">
        <v>30</v>
      </c>
      <c r="C4" s="8" t="s">
        <v>31</v>
      </c>
      <c r="D4" t="s">
        <v>32</v>
      </c>
    </row>
    <row r="5" spans="1:5" x14ac:dyDescent="0.35">
      <c r="A5" s="1" t="s">
        <v>63</v>
      </c>
      <c r="B5" s="7" t="s">
        <v>33</v>
      </c>
      <c r="C5" s="8" t="s">
        <v>34</v>
      </c>
      <c r="D5" t="s">
        <v>35</v>
      </c>
    </row>
    <row r="6" spans="1:5" x14ac:dyDescent="0.35">
      <c r="A6" s="1" t="s">
        <v>64</v>
      </c>
      <c r="B6" s="7" t="s">
        <v>27</v>
      </c>
      <c r="C6" s="8" t="s">
        <v>36</v>
      </c>
      <c r="D6" t="s">
        <v>37</v>
      </c>
    </row>
    <row r="7" spans="1:5" x14ac:dyDescent="0.35">
      <c r="A7" s="1" t="s">
        <v>65</v>
      </c>
      <c r="B7" s="7" t="s">
        <v>38</v>
      </c>
      <c r="C7" s="8" t="s">
        <v>39</v>
      </c>
      <c r="D7" t="s">
        <v>40</v>
      </c>
    </row>
    <row r="8" spans="1:5" x14ac:dyDescent="0.35">
      <c r="A8" s="1" t="s">
        <v>66</v>
      </c>
      <c r="B8" s="7" t="s">
        <v>41</v>
      </c>
      <c r="C8" s="8" t="s">
        <v>42</v>
      </c>
      <c r="D8" t="s">
        <v>43</v>
      </c>
    </row>
    <row r="9" spans="1:5" x14ac:dyDescent="0.35">
      <c r="A9" s="1" t="s">
        <v>67</v>
      </c>
      <c r="B9" s="7" t="s">
        <v>44</v>
      </c>
      <c r="C9" s="8" t="s">
        <v>45</v>
      </c>
      <c r="D9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4" sqref="A4"/>
    </sheetView>
  </sheetViews>
  <sheetFormatPr defaultRowHeight="14.5" x14ac:dyDescent="0.35"/>
  <sheetData>
    <row r="1" spans="1:4" ht="43.5" x14ac:dyDescent="0.35">
      <c r="A1" t="s">
        <v>47</v>
      </c>
      <c r="B1" t="s">
        <v>48</v>
      </c>
      <c r="C1" s="5" t="s">
        <v>49</v>
      </c>
      <c r="D1" t="s">
        <v>50</v>
      </c>
    </row>
    <row r="2" spans="1:4" x14ac:dyDescent="0.35">
      <c r="A2" t="s">
        <v>51</v>
      </c>
      <c r="B2" s="7">
        <v>0.10100000000000001</v>
      </c>
      <c r="C2" s="8">
        <v>2585</v>
      </c>
      <c r="D2" s="9">
        <v>0.14000000000000001</v>
      </c>
    </row>
    <row r="3" spans="1:4" x14ac:dyDescent="0.35">
      <c r="A3" t="s">
        <v>52</v>
      </c>
      <c r="B3" s="7">
        <v>5.8999999999999997E-2</v>
      </c>
      <c r="C3" s="8">
        <v>2356</v>
      </c>
      <c r="D3" s="9">
        <v>0.37</v>
      </c>
    </row>
    <row r="4" spans="1:4" x14ac:dyDescent="0.35">
      <c r="A4" t="s">
        <v>53</v>
      </c>
      <c r="B4" s="7">
        <v>0.30199999999999999</v>
      </c>
      <c r="C4" s="8">
        <v>2344</v>
      </c>
      <c r="D4" s="9">
        <v>0.18</v>
      </c>
    </row>
    <row r="5" spans="1:4" x14ac:dyDescent="0.35">
      <c r="A5" t="s">
        <v>54</v>
      </c>
      <c r="B5" s="7">
        <v>0.10100000000000001</v>
      </c>
      <c r="C5" s="8">
        <v>2274</v>
      </c>
      <c r="D5" s="9">
        <v>0.22</v>
      </c>
    </row>
    <row r="6" spans="1:4" x14ac:dyDescent="0.35">
      <c r="A6" t="s">
        <v>55</v>
      </c>
      <c r="B6" s="7">
        <v>0.11700000000000001</v>
      </c>
      <c r="C6" s="8">
        <v>2223</v>
      </c>
      <c r="D6" s="9">
        <v>0.2</v>
      </c>
    </row>
    <row r="7" spans="1:4" x14ac:dyDescent="0.35">
      <c r="A7" t="s">
        <v>56</v>
      </c>
      <c r="B7" s="7">
        <v>0.107</v>
      </c>
      <c r="C7" s="8">
        <v>2020</v>
      </c>
      <c r="D7" s="9">
        <v>0.28000000000000003</v>
      </c>
    </row>
    <row r="8" spans="1:4" x14ac:dyDescent="0.35">
      <c r="A8" t="s">
        <v>57</v>
      </c>
      <c r="B8" s="7">
        <v>0.16400000000000001</v>
      </c>
      <c r="C8" s="8">
        <v>1809</v>
      </c>
      <c r="D8" s="9">
        <v>0.28999999999999998</v>
      </c>
    </row>
    <row r="9" spans="1:4" x14ac:dyDescent="0.35">
      <c r="A9" t="s">
        <v>58</v>
      </c>
      <c r="B9" s="7">
        <v>4.8000000000000001E-2</v>
      </c>
      <c r="C9" s="8">
        <v>1465</v>
      </c>
      <c r="D9" s="9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2025-05-25T14:46:37Z</dcterms:modified>
</cp:coreProperties>
</file>