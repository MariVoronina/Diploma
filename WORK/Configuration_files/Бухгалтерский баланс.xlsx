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70" windowWidth="24900" windowHeight="10840" activeTab="3"/>
  </bookViews>
  <sheets>
    <sheet name="Лист1" sheetId="1" r:id="rId1"/>
    <sheet name="Лист6" sheetId="6" r:id="rId2"/>
    <sheet name="Лист2" sheetId="2" r:id="rId3"/>
    <sheet name="Лист3" sheetId="3" r:id="rId4"/>
    <sheet name="Лист4" sheetId="4" r:id="rId5"/>
    <sheet name="Лист5" sheetId="5" r:id="rId6"/>
  </sheets>
  <calcPr calcId="144525"/>
</workbook>
</file>

<file path=xl/calcChain.xml><?xml version="1.0" encoding="utf-8"?>
<calcChain xmlns="http://schemas.openxmlformats.org/spreadsheetml/2006/main">
  <c r="C8" i="3" l="1"/>
  <c r="D8" i="3"/>
  <c r="E8" i="3"/>
  <c r="F8" i="3"/>
  <c r="G8" i="3"/>
  <c r="H8" i="3"/>
  <c r="I8" i="3"/>
  <c r="J8" i="3"/>
  <c r="K8" i="3"/>
  <c r="L8" i="3"/>
  <c r="M8" i="3"/>
  <c r="N8" i="3"/>
  <c r="O8" i="3"/>
</calcChain>
</file>

<file path=xl/sharedStrings.xml><?xml version="1.0" encoding="utf-8"?>
<sst xmlns="http://schemas.openxmlformats.org/spreadsheetml/2006/main" count="162" uniqueCount="39">
  <si>
    <t>—</t>
  </si>
  <si>
    <t>БАЛАНС (актив)</t>
  </si>
  <si>
    <t>БАЛАНС (пассив)</t>
  </si>
  <si>
    <t>Код</t>
  </si>
  <si>
    <t>Наименование</t>
  </si>
  <si>
    <t>Запасы</t>
  </si>
  <si>
    <t>Налог на добавленную стоимость по приобретенным ценностям</t>
  </si>
  <si>
    <t>Дебиторская задолженность</t>
  </si>
  <si>
    <t>Финансовые вложения (за исключением денежных эквивалентов)</t>
  </si>
  <si>
    <t>Денежные средства и денежные эквиваленты</t>
  </si>
  <si>
    <t>Прочие оборотные активы</t>
  </si>
  <si>
    <t>Итого оборотных активов</t>
  </si>
  <si>
    <t>Уставный капитал (складочный капитал, уставный фонд, вклады товарищей)</t>
  </si>
  <si>
    <t>Собственные акции, выкупленные у акционеров</t>
  </si>
  <si>
    <t>Переоценка внеоборотных активов</t>
  </si>
  <si>
    <t>Добавочный капитал (без переоценки)</t>
  </si>
  <si>
    <t>Резервный капитал</t>
  </si>
  <si>
    <t>Нераспределенная прибыль (непокрытый убыток)</t>
  </si>
  <si>
    <t>ИТОГО капитал</t>
  </si>
  <si>
    <t>Долгосрочные заемные средства</t>
  </si>
  <si>
    <t>Отложенные налоговые обязательства</t>
  </si>
  <si>
    <t>Оценочные обязательства</t>
  </si>
  <si>
    <t>Прочие долгосрочные обязательства</t>
  </si>
  <si>
    <t>ИТОГО долгосрочных обязательств</t>
  </si>
  <si>
    <t>Краткосрочные заемные обязательства</t>
  </si>
  <si>
    <t>Краткосрочная кредиторская задолженность</t>
  </si>
  <si>
    <t>Доходы будущих периодов</t>
  </si>
  <si>
    <t>Прочие краткосрочные обязательства</t>
  </si>
  <si>
    <t>ИТОГО краткосрочных обязательств</t>
  </si>
  <si>
    <t>Нематериальные активы</t>
  </si>
  <si>
    <t>Результаты исследований и разработок</t>
  </si>
  <si>
    <t>Нематериальные поисковые активы</t>
  </si>
  <si>
    <t>Материальные поисковые активы</t>
  </si>
  <si>
    <t>Основные средства</t>
  </si>
  <si>
    <t>Доходные вложения в материальные ценности</t>
  </si>
  <si>
    <t>Финансовые вложения</t>
  </si>
  <si>
    <t>Отложенные налоговые активы</t>
  </si>
  <si>
    <t>Прочие внеоборотные активы</t>
  </si>
  <si>
    <t>Итого внеоборотных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</si>
</sst>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7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 indent="1"/>
    </xf>
    <xf numFmtId="0" fontId="1" fillId="0" borderId="0" xfId="0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 indent="1"/>
    </xf>
    <xf numFmtId="3" fontId="1" fillId="0" borderId="0" xfId="0" applyNumberFormat="1" applyFont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/>
    </xf>
    <xf numFmtId="3" fontId="1" fillId="2" borderId="0" xfId="0" applyNumberFormat="1" applyFont="1" applyFill="1" applyAlignment="1">
      <alignment horizontal="right" vertical="center" wrapText="1" indent="1"/>
    </xf>
    <xf numFmtId="3" fontId="1" fillId="2" borderId="0" xfId="0" applyNumberFormat="1" applyFont="1" applyFill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6"/>
  <sheetViews>
    <sheetView topLeftCell="A7" workbookViewId="0">
      <selection activeCell="E2" sqref="E2"/>
    </sheetView>
  </sheetViews>
  <sheetFormatPr defaultRowHeight="14.5" x14ac:dyDescent="0.35"/>
  <sheetData>
    <row r="1" spans="1:104" x14ac:dyDescent="0.35">
      <c r="A1" t="s">
        <v>3</v>
      </c>
      <c r="B1" t="s">
        <v>4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04" x14ac:dyDescent="0.35">
      <c r="A2">
        <v>1600</v>
      </c>
      <c r="B2" t="s">
        <v>1</v>
      </c>
      <c r="C2">
        <v>12041217</v>
      </c>
      <c r="D2">
        <v>13287851</v>
      </c>
      <c r="E2">
        <v>13707090</v>
      </c>
      <c r="F2">
        <v>17355578</v>
      </c>
      <c r="G2">
        <v>13247193</v>
      </c>
      <c r="H2">
        <v>10996404</v>
      </c>
      <c r="I2">
        <v>8899518</v>
      </c>
      <c r="J2">
        <v>5733223</v>
      </c>
      <c r="K2">
        <v>5377871</v>
      </c>
      <c r="L2">
        <v>4561850</v>
      </c>
      <c r="M2">
        <v>4030210</v>
      </c>
      <c r="N2">
        <v>2364947</v>
      </c>
      <c r="O2">
        <v>1889129</v>
      </c>
    </row>
    <row r="3" spans="1:104" x14ac:dyDescent="0.35">
      <c r="A3">
        <v>1700</v>
      </c>
      <c r="B3" t="s">
        <v>2</v>
      </c>
      <c r="C3">
        <v>12041217</v>
      </c>
      <c r="D3">
        <v>13287851</v>
      </c>
      <c r="E3">
        <v>13707090</v>
      </c>
      <c r="F3">
        <v>17355578</v>
      </c>
      <c r="G3">
        <v>13247193</v>
      </c>
      <c r="H3">
        <v>10996404</v>
      </c>
      <c r="I3">
        <v>8899518</v>
      </c>
      <c r="J3">
        <v>5733223</v>
      </c>
      <c r="K3">
        <v>5377871</v>
      </c>
      <c r="L3">
        <v>4561850</v>
      </c>
      <c r="M3">
        <v>4030210</v>
      </c>
      <c r="N3">
        <v>2364947</v>
      </c>
      <c r="O3">
        <v>1889129</v>
      </c>
    </row>
    <row r="4" spans="1:104" x14ac:dyDescent="0.35">
      <c r="B4" s="1"/>
      <c r="C4" s="1"/>
      <c r="D4" s="1"/>
      <c r="E4" s="1"/>
      <c r="F4" s="4"/>
      <c r="G4" s="4"/>
      <c r="H4" s="4"/>
      <c r="I4" s="4"/>
      <c r="J4" s="4"/>
      <c r="K4" s="4"/>
      <c r="L4" s="4"/>
      <c r="M4" s="4"/>
      <c r="N4" s="4"/>
      <c r="O4" s="5"/>
    </row>
    <row r="5" spans="1:104" x14ac:dyDescent="0.35">
      <c r="B5" s="6"/>
      <c r="C5" s="6"/>
      <c r="D5" s="6"/>
      <c r="E5" s="6"/>
      <c r="F5" s="7"/>
      <c r="G5" s="7"/>
      <c r="H5" s="7"/>
      <c r="I5" s="7"/>
      <c r="J5" s="7"/>
      <c r="K5" s="7"/>
      <c r="L5" s="7"/>
      <c r="M5" s="7"/>
      <c r="N5" s="7"/>
      <c r="O5" s="8"/>
    </row>
    <row r="6" spans="1:104" x14ac:dyDescent="0.35">
      <c r="B6" s="1"/>
      <c r="C6" s="1"/>
      <c r="D6" s="1"/>
      <c r="E6" s="1"/>
      <c r="F6" s="4"/>
      <c r="G6" s="4"/>
      <c r="H6" s="4"/>
      <c r="I6" s="4"/>
      <c r="J6" s="4"/>
      <c r="K6" s="4"/>
      <c r="L6" s="4"/>
      <c r="M6" s="4"/>
      <c r="N6" s="4"/>
      <c r="O6" s="5"/>
    </row>
    <row r="7" spans="1:104" x14ac:dyDescent="0.35">
      <c r="B7" s="1"/>
      <c r="C7" s="1"/>
      <c r="D7" s="1"/>
      <c r="E7" s="1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04" x14ac:dyDescent="0.35">
      <c r="B8" s="1"/>
      <c r="C8" s="1"/>
      <c r="D8" s="1"/>
      <c r="E8" s="1"/>
      <c r="F8" s="2"/>
      <c r="G8" s="2"/>
      <c r="H8" s="4"/>
      <c r="I8" s="4"/>
      <c r="J8" s="4"/>
      <c r="K8" s="4"/>
      <c r="L8" s="4"/>
      <c r="M8" s="4"/>
      <c r="N8" s="4"/>
      <c r="O8" s="5"/>
    </row>
    <row r="9" spans="1:104" x14ac:dyDescent="0.35">
      <c r="B9" s="1"/>
      <c r="C9" s="1"/>
      <c r="D9" s="1"/>
      <c r="E9" s="1"/>
      <c r="F9" s="2"/>
      <c r="G9" s="2"/>
      <c r="H9" s="4"/>
      <c r="I9" s="4"/>
      <c r="J9" s="4"/>
      <c r="K9" s="4"/>
      <c r="L9" s="4"/>
      <c r="M9" s="4"/>
      <c r="N9" s="4"/>
      <c r="O9" s="5"/>
    </row>
    <row r="10" spans="1:104" x14ac:dyDescent="0.35">
      <c r="B10" s="1"/>
      <c r="C10" s="1"/>
      <c r="D10" s="1"/>
      <c r="E10" s="1"/>
      <c r="F10" s="2"/>
      <c r="G10" s="2"/>
      <c r="H10" s="4"/>
      <c r="I10" s="2"/>
      <c r="J10" s="4"/>
      <c r="K10" s="4"/>
      <c r="L10" s="2"/>
      <c r="M10" s="4"/>
      <c r="N10" s="4"/>
      <c r="O10" s="5"/>
    </row>
    <row r="11" spans="1:104" x14ac:dyDescent="0.35">
      <c r="B11" s="1"/>
      <c r="C11" s="1"/>
      <c r="D11" s="1"/>
      <c r="E11" s="1"/>
      <c r="F11" s="2"/>
      <c r="G11" s="2"/>
      <c r="H11" s="4"/>
      <c r="I11" s="2"/>
      <c r="J11" s="4"/>
      <c r="K11" s="2"/>
      <c r="L11" s="2"/>
      <c r="M11" s="2"/>
      <c r="N11" s="2"/>
      <c r="O11" s="5"/>
    </row>
    <row r="12" spans="1:104" x14ac:dyDescent="0.35">
      <c r="B12" s="1"/>
      <c r="C12" s="1"/>
      <c r="D12" s="1"/>
      <c r="E12" s="1"/>
      <c r="F12" s="4"/>
      <c r="G12" s="4"/>
      <c r="H12" s="4"/>
      <c r="I12" s="4"/>
      <c r="J12" s="4"/>
      <c r="K12" s="4"/>
      <c r="L12" s="4"/>
      <c r="M12" s="4"/>
      <c r="N12" s="4"/>
      <c r="O12" s="5"/>
    </row>
    <row r="13" spans="1:104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04" x14ac:dyDescent="0.35">
      <c r="B14" s="1"/>
      <c r="C14" s="1"/>
      <c r="D14" s="1"/>
      <c r="E14" s="1"/>
      <c r="F14" s="2"/>
      <c r="G14" s="2"/>
      <c r="H14" s="2"/>
      <c r="I14" s="2"/>
      <c r="J14" s="2"/>
      <c r="K14" s="2"/>
      <c r="L14" s="2"/>
      <c r="M14" s="2"/>
      <c r="N14" s="2"/>
      <c r="O14" s="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</row>
    <row r="15" spans="1:104" x14ac:dyDescent="0.35">
      <c r="B15" s="1"/>
      <c r="C15" s="1"/>
      <c r="D15" s="1"/>
      <c r="E15" s="1"/>
      <c r="F15" s="2"/>
      <c r="G15" s="4"/>
      <c r="H15" s="2"/>
      <c r="I15" s="2"/>
      <c r="J15" s="2"/>
      <c r="K15" s="2"/>
      <c r="L15" s="2"/>
      <c r="M15" s="2"/>
      <c r="N15" s="2"/>
      <c r="O15" s="3"/>
    </row>
    <row r="16" spans="1:104" x14ac:dyDescent="0.35">
      <c r="B16" s="1"/>
      <c r="C16" s="1"/>
      <c r="D16" s="1"/>
      <c r="E16" s="1"/>
      <c r="F16" s="4"/>
      <c r="G16" s="4"/>
      <c r="H16" s="4"/>
      <c r="I16" s="4"/>
      <c r="J16" s="4"/>
      <c r="K16" s="4"/>
      <c r="L16" s="4"/>
      <c r="M16" s="4"/>
      <c r="N16" s="4"/>
      <c r="O16" s="5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F3" sqref="F3"/>
    </sheetView>
  </sheetViews>
  <sheetFormatPr defaultRowHeight="14.5" x14ac:dyDescent="0.35"/>
  <sheetData>
    <row r="1" spans="1:15" x14ac:dyDescent="0.35">
      <c r="A1" t="s">
        <v>3</v>
      </c>
      <c r="B1" t="s">
        <v>4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1110</v>
      </c>
      <c r="B2" t="s">
        <v>29</v>
      </c>
      <c r="C2">
        <v>21874</v>
      </c>
      <c r="D2">
        <v>27896</v>
      </c>
      <c r="E2">
        <v>29007</v>
      </c>
      <c r="F2">
        <v>35370</v>
      </c>
      <c r="G2">
        <v>14375</v>
      </c>
      <c r="H2">
        <v>14975</v>
      </c>
      <c r="I2">
        <v>15798</v>
      </c>
      <c r="J2">
        <v>10650</v>
      </c>
      <c r="K2">
        <v>13019</v>
      </c>
      <c r="L2">
        <v>10648</v>
      </c>
      <c r="M2">
        <v>8185</v>
      </c>
      <c r="N2">
        <v>8308</v>
      </c>
      <c r="O2">
        <v>5500</v>
      </c>
    </row>
    <row r="3" spans="1:15" x14ac:dyDescent="0.35">
      <c r="A3">
        <v>1120</v>
      </c>
      <c r="B3" t="s">
        <v>30</v>
      </c>
      <c r="C3">
        <v>99892</v>
      </c>
      <c r="D3">
        <v>1087652</v>
      </c>
      <c r="E3">
        <v>1107854</v>
      </c>
      <c r="F3">
        <v>1059919</v>
      </c>
      <c r="G3">
        <v>968642</v>
      </c>
      <c r="H3">
        <v>969720</v>
      </c>
      <c r="I3">
        <v>173729</v>
      </c>
      <c r="J3">
        <v>141159</v>
      </c>
      <c r="K3">
        <v>115621</v>
      </c>
      <c r="L3">
        <v>114623</v>
      </c>
      <c r="M3">
        <v>76505</v>
      </c>
      <c r="N3">
        <v>20874</v>
      </c>
      <c r="O3">
        <v>9755</v>
      </c>
    </row>
    <row r="4" spans="1:15" x14ac:dyDescent="0.35">
      <c r="A4">
        <v>1130</v>
      </c>
      <c r="B4" t="s">
        <v>31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</row>
    <row r="5" spans="1:15" x14ac:dyDescent="0.35">
      <c r="A5">
        <v>1140</v>
      </c>
      <c r="B5" t="s">
        <v>32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</row>
    <row r="6" spans="1:15" x14ac:dyDescent="0.35">
      <c r="A6">
        <v>1150</v>
      </c>
      <c r="B6" t="s">
        <v>33</v>
      </c>
      <c r="C6">
        <v>4721538</v>
      </c>
      <c r="D6">
        <v>4789321</v>
      </c>
      <c r="E6">
        <v>4689536</v>
      </c>
      <c r="F6">
        <v>4727560</v>
      </c>
      <c r="G6">
        <v>4791173</v>
      </c>
      <c r="H6">
        <v>4961227</v>
      </c>
      <c r="I6">
        <v>2166371</v>
      </c>
      <c r="J6">
        <v>1875280</v>
      </c>
      <c r="K6">
        <v>1903390</v>
      </c>
      <c r="L6">
        <v>1986333</v>
      </c>
      <c r="M6">
        <v>1169512</v>
      </c>
      <c r="N6">
        <v>172852</v>
      </c>
      <c r="O6">
        <v>198477</v>
      </c>
    </row>
    <row r="7" spans="1:15" x14ac:dyDescent="0.35">
      <c r="A7">
        <v>1160</v>
      </c>
      <c r="B7" t="s">
        <v>34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</row>
    <row r="8" spans="1:15" x14ac:dyDescent="0.35">
      <c r="A8">
        <v>1170</v>
      </c>
      <c r="B8" t="s">
        <v>35</v>
      </c>
      <c r="C8" t="s">
        <v>0</v>
      </c>
      <c r="D8" t="s">
        <v>0</v>
      </c>
      <c r="E8">
        <v>10347</v>
      </c>
      <c r="F8">
        <v>3509691</v>
      </c>
      <c r="G8">
        <v>7306</v>
      </c>
      <c r="H8">
        <v>1230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</row>
    <row r="9" spans="1:15" x14ac:dyDescent="0.35">
      <c r="A9">
        <v>1180</v>
      </c>
      <c r="B9" t="s">
        <v>36</v>
      </c>
      <c r="C9">
        <v>79043</v>
      </c>
      <c r="D9">
        <v>88723</v>
      </c>
      <c r="E9">
        <v>90762</v>
      </c>
      <c r="F9">
        <v>91559</v>
      </c>
      <c r="G9">
        <v>77721</v>
      </c>
      <c r="H9">
        <v>88337</v>
      </c>
      <c r="I9">
        <v>97443</v>
      </c>
      <c r="J9">
        <v>64641</v>
      </c>
      <c r="K9">
        <v>49956</v>
      </c>
      <c r="L9">
        <v>9134</v>
      </c>
      <c r="M9">
        <v>15571</v>
      </c>
      <c r="N9">
        <v>14176</v>
      </c>
      <c r="O9">
        <v>15478</v>
      </c>
    </row>
    <row r="10" spans="1:15" x14ac:dyDescent="0.35">
      <c r="A10">
        <v>1190</v>
      </c>
      <c r="B10" t="s">
        <v>37</v>
      </c>
      <c r="C10">
        <v>49872</v>
      </c>
      <c r="D10">
        <v>51002</v>
      </c>
      <c r="E10">
        <v>55497</v>
      </c>
      <c r="F10">
        <v>41161</v>
      </c>
      <c r="G10">
        <v>46147</v>
      </c>
      <c r="H10">
        <v>36676</v>
      </c>
      <c r="I10">
        <v>1839705</v>
      </c>
      <c r="J10">
        <v>626711</v>
      </c>
      <c r="K10">
        <v>597750</v>
      </c>
      <c r="L10">
        <v>475172</v>
      </c>
      <c r="M10">
        <v>824857</v>
      </c>
      <c r="N10">
        <v>624074</v>
      </c>
      <c r="O10">
        <v>224137</v>
      </c>
    </row>
    <row r="11" spans="1:15" x14ac:dyDescent="0.35">
      <c r="A11">
        <v>1100</v>
      </c>
      <c r="B11" t="s">
        <v>38</v>
      </c>
      <c r="C11">
        <v>4972219</v>
      </c>
      <c r="D11">
        <v>6044594</v>
      </c>
      <c r="E11">
        <v>5983003</v>
      </c>
      <c r="F11">
        <v>9465260</v>
      </c>
      <c r="G11">
        <v>5905365</v>
      </c>
      <c r="H11">
        <v>6072164</v>
      </c>
      <c r="I11">
        <v>4293047</v>
      </c>
      <c r="J11">
        <v>2718441</v>
      </c>
      <c r="K11">
        <v>2679737</v>
      </c>
      <c r="L11">
        <v>2595910</v>
      </c>
      <c r="M11">
        <v>2094631</v>
      </c>
      <c r="N11">
        <v>840285</v>
      </c>
      <c r="O11">
        <v>453347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C8" sqref="C8"/>
    </sheetView>
  </sheetViews>
  <sheetFormatPr defaultRowHeight="14.5" x14ac:dyDescent="0.35"/>
  <sheetData>
    <row r="1" spans="1:15" x14ac:dyDescent="0.35">
      <c r="A1" t="s">
        <v>3</v>
      </c>
      <c r="B1" t="s">
        <v>4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1210</v>
      </c>
      <c r="B2" t="s">
        <v>5</v>
      </c>
      <c r="C2">
        <v>2999249</v>
      </c>
      <c r="D2">
        <v>3189236</v>
      </c>
      <c r="E2">
        <v>3546789</v>
      </c>
      <c r="F2">
        <v>3329149</v>
      </c>
      <c r="G2">
        <v>2733840</v>
      </c>
      <c r="H2">
        <v>1998024</v>
      </c>
      <c r="I2">
        <v>1541907</v>
      </c>
      <c r="J2">
        <v>1039394</v>
      </c>
      <c r="K2">
        <v>924662</v>
      </c>
      <c r="L2">
        <v>711209</v>
      </c>
      <c r="M2">
        <v>720599</v>
      </c>
      <c r="N2">
        <v>399344</v>
      </c>
      <c r="O2">
        <v>364533</v>
      </c>
    </row>
    <row r="3" spans="1:15" x14ac:dyDescent="0.35">
      <c r="A3">
        <v>1220</v>
      </c>
      <c r="B3" t="s">
        <v>6</v>
      </c>
      <c r="C3">
        <v>5436</v>
      </c>
      <c r="D3">
        <v>4681</v>
      </c>
      <c r="E3">
        <v>10879</v>
      </c>
      <c r="F3">
        <v>7473</v>
      </c>
      <c r="G3">
        <v>5527</v>
      </c>
      <c r="H3">
        <v>25081</v>
      </c>
      <c r="I3">
        <v>35809</v>
      </c>
      <c r="J3">
        <v>6139</v>
      </c>
      <c r="K3">
        <v>2406</v>
      </c>
      <c r="L3">
        <v>5861</v>
      </c>
      <c r="M3">
        <v>5771</v>
      </c>
      <c r="N3">
        <v>14929</v>
      </c>
      <c r="O3">
        <v>21464</v>
      </c>
    </row>
    <row r="4" spans="1:15" x14ac:dyDescent="0.35">
      <c r="A4">
        <v>1230</v>
      </c>
      <c r="B4" t="s">
        <v>7</v>
      </c>
      <c r="C4">
        <v>3912675</v>
      </c>
      <c r="D4">
        <v>3799547</v>
      </c>
      <c r="E4">
        <v>3887651</v>
      </c>
      <c r="F4">
        <v>4303579</v>
      </c>
      <c r="G4">
        <v>3993129</v>
      </c>
      <c r="H4">
        <v>2664211</v>
      </c>
      <c r="I4">
        <v>2904266</v>
      </c>
      <c r="J4">
        <v>1764407</v>
      </c>
      <c r="K4">
        <v>1611902</v>
      </c>
      <c r="L4">
        <v>1123383</v>
      </c>
      <c r="M4">
        <v>1115937</v>
      </c>
      <c r="N4">
        <v>1013745</v>
      </c>
      <c r="O4">
        <v>920698</v>
      </c>
    </row>
    <row r="5" spans="1:15" x14ac:dyDescent="0.35">
      <c r="A5">
        <v>1240</v>
      </c>
      <c r="B5" t="s">
        <v>8</v>
      </c>
      <c r="C5" t="s">
        <v>0</v>
      </c>
      <c r="D5">
        <v>3578</v>
      </c>
      <c r="E5" t="s">
        <v>0</v>
      </c>
      <c r="F5" t="s">
        <v>0</v>
      </c>
      <c r="G5">
        <v>7264</v>
      </c>
      <c r="H5">
        <v>1220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>
        <v>66280</v>
      </c>
      <c r="O5" t="s">
        <v>0</v>
      </c>
    </row>
    <row r="6" spans="1:15" x14ac:dyDescent="0.35">
      <c r="A6">
        <v>1250</v>
      </c>
      <c r="B6" t="s">
        <v>9</v>
      </c>
      <c r="C6">
        <v>100342</v>
      </c>
      <c r="D6">
        <v>196853</v>
      </c>
      <c r="E6">
        <v>227893</v>
      </c>
      <c r="F6">
        <v>198422</v>
      </c>
      <c r="G6">
        <v>555983</v>
      </c>
      <c r="H6">
        <v>194731</v>
      </c>
      <c r="I6">
        <v>82990</v>
      </c>
      <c r="J6">
        <v>147100</v>
      </c>
      <c r="K6">
        <v>117729</v>
      </c>
      <c r="L6">
        <v>114001</v>
      </c>
      <c r="M6">
        <v>88337</v>
      </c>
      <c r="N6">
        <v>10445</v>
      </c>
      <c r="O6">
        <v>126031</v>
      </c>
    </row>
    <row r="7" spans="1:15" x14ac:dyDescent="0.35">
      <c r="A7">
        <v>1260</v>
      </c>
      <c r="B7" t="s">
        <v>10</v>
      </c>
      <c r="C7">
        <v>51296</v>
      </c>
      <c r="D7">
        <v>49362</v>
      </c>
      <c r="E7">
        <v>50875</v>
      </c>
      <c r="F7">
        <v>51695</v>
      </c>
      <c r="G7">
        <v>53348</v>
      </c>
      <c r="H7">
        <v>42192</v>
      </c>
      <c r="I7">
        <v>41499</v>
      </c>
      <c r="J7">
        <v>57741</v>
      </c>
      <c r="K7">
        <v>41434</v>
      </c>
      <c r="L7">
        <v>11487</v>
      </c>
      <c r="M7">
        <v>4935</v>
      </c>
      <c r="N7">
        <v>19919</v>
      </c>
      <c r="O7">
        <v>3056</v>
      </c>
    </row>
    <row r="8" spans="1:15" x14ac:dyDescent="0.35">
      <c r="A8">
        <v>1200</v>
      </c>
      <c r="B8" t="s">
        <v>11</v>
      </c>
      <c r="C8">
        <v>7068998</v>
      </c>
      <c r="D8">
        <v>7243257</v>
      </c>
      <c r="E8">
        <v>7724087</v>
      </c>
      <c r="F8">
        <v>7890318</v>
      </c>
      <c r="G8">
        <v>7341827</v>
      </c>
      <c r="H8">
        <v>4924239</v>
      </c>
      <c r="I8">
        <v>4606471</v>
      </c>
      <c r="J8">
        <v>3014782</v>
      </c>
      <c r="K8">
        <v>2698134</v>
      </c>
      <c r="L8">
        <v>1965940</v>
      </c>
      <c r="M8">
        <v>1935579</v>
      </c>
      <c r="N8">
        <v>1524663</v>
      </c>
      <c r="O8">
        <v>1435782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workbookViewId="0">
      <selection activeCell="D10" sqref="D10"/>
    </sheetView>
  </sheetViews>
  <sheetFormatPr defaultRowHeight="14.5" x14ac:dyDescent="0.35"/>
  <sheetData>
    <row r="1" spans="1:15" x14ac:dyDescent="0.35">
      <c r="A1" t="s">
        <v>3</v>
      </c>
      <c r="B1" t="s">
        <v>4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1310</v>
      </c>
      <c r="B2" t="s">
        <v>12</v>
      </c>
      <c r="C2">
        <v>11</v>
      </c>
      <c r="D2">
        <v>11</v>
      </c>
      <c r="E2">
        <v>10</v>
      </c>
      <c r="F2">
        <v>11</v>
      </c>
      <c r="G2">
        <v>11</v>
      </c>
      <c r="H2">
        <v>11</v>
      </c>
      <c r="I2">
        <v>11</v>
      </c>
      <c r="J2">
        <v>11</v>
      </c>
      <c r="K2">
        <v>11</v>
      </c>
      <c r="L2">
        <v>11</v>
      </c>
      <c r="M2">
        <v>11</v>
      </c>
      <c r="N2">
        <v>11</v>
      </c>
      <c r="O2">
        <v>11</v>
      </c>
    </row>
    <row r="3" spans="1:15" x14ac:dyDescent="0.35">
      <c r="A3">
        <v>1320</v>
      </c>
      <c r="B3" t="s">
        <v>13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</row>
    <row r="4" spans="1:15" x14ac:dyDescent="0.35">
      <c r="A4">
        <v>1340</v>
      </c>
      <c r="B4" t="s">
        <v>14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</row>
    <row r="5" spans="1:15" x14ac:dyDescent="0.35">
      <c r="A5">
        <v>1350</v>
      </c>
      <c r="B5" t="s">
        <v>15</v>
      </c>
      <c r="C5">
        <v>49998</v>
      </c>
      <c r="D5">
        <v>49998</v>
      </c>
      <c r="E5">
        <v>49998</v>
      </c>
      <c r="F5">
        <v>49998</v>
      </c>
      <c r="G5">
        <v>49998</v>
      </c>
      <c r="H5">
        <v>49998</v>
      </c>
      <c r="I5">
        <v>49998</v>
      </c>
      <c r="J5">
        <v>49998</v>
      </c>
      <c r="K5">
        <v>49998</v>
      </c>
      <c r="L5">
        <v>49998</v>
      </c>
      <c r="M5">
        <v>49998</v>
      </c>
      <c r="N5">
        <v>49998</v>
      </c>
      <c r="O5">
        <v>49998</v>
      </c>
    </row>
    <row r="6" spans="1:15" x14ac:dyDescent="0.35">
      <c r="A6">
        <v>1360</v>
      </c>
      <c r="B6" t="s">
        <v>16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</row>
    <row r="7" spans="1:15" x14ac:dyDescent="0.35">
      <c r="A7">
        <v>1370</v>
      </c>
      <c r="B7" t="s">
        <v>17</v>
      </c>
      <c r="C7">
        <v>11457843</v>
      </c>
      <c r="D7">
        <v>9908661</v>
      </c>
      <c r="E7">
        <v>8793562</v>
      </c>
      <c r="F7">
        <v>7903899</v>
      </c>
      <c r="G7">
        <v>6749969</v>
      </c>
      <c r="H7">
        <v>5038559</v>
      </c>
      <c r="I7">
        <v>3951479</v>
      </c>
      <c r="J7">
        <v>3051079</v>
      </c>
      <c r="K7">
        <v>2235175</v>
      </c>
      <c r="L7">
        <v>1492652</v>
      </c>
      <c r="M7">
        <v>1364001</v>
      </c>
      <c r="N7">
        <v>1320092</v>
      </c>
      <c r="O7">
        <v>1152562</v>
      </c>
    </row>
    <row r="8" spans="1:15" x14ac:dyDescent="0.35">
      <c r="A8">
        <v>1300</v>
      </c>
      <c r="B8" t="s">
        <v>18</v>
      </c>
      <c r="C8">
        <f t="shared" ref="C8" si="0">C2+C5+C6+C7</f>
        <v>11507854</v>
      </c>
      <c r="D8">
        <f t="shared" ref="D8" si="1">D2+D5+D6+D7</f>
        <v>9958672</v>
      </c>
      <c r="E8">
        <f t="shared" ref="E8" si="2">E2+E5+E6+E7</f>
        <v>8843572</v>
      </c>
      <c r="F8">
        <f t="shared" ref="F8:N8" si="3">F2+F5+F6+F7</f>
        <v>7953910</v>
      </c>
      <c r="G8">
        <f t="shared" si="3"/>
        <v>6799980</v>
      </c>
      <c r="H8">
        <f t="shared" si="3"/>
        <v>5088570</v>
      </c>
      <c r="I8">
        <f t="shared" si="3"/>
        <v>4001490</v>
      </c>
      <c r="J8">
        <f t="shared" si="3"/>
        <v>3101090</v>
      </c>
      <c r="K8">
        <f t="shared" si="3"/>
        <v>2285186</v>
      </c>
      <c r="L8">
        <f t="shared" si="3"/>
        <v>1542663</v>
      </c>
      <c r="M8">
        <f t="shared" si="3"/>
        <v>1414012</v>
      </c>
      <c r="N8">
        <f t="shared" si="3"/>
        <v>1370103</v>
      </c>
      <c r="O8">
        <f>O2+O5+O6+O7</f>
        <v>1202573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selection activeCell="C1" sqref="C1:E6"/>
    </sheetView>
  </sheetViews>
  <sheetFormatPr defaultRowHeight="14.5" x14ac:dyDescent="0.35"/>
  <sheetData>
    <row r="1" spans="1:15" x14ac:dyDescent="0.35">
      <c r="A1" t="s">
        <v>3</v>
      </c>
      <c r="B1" t="s">
        <v>4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1410</v>
      </c>
      <c r="B2" t="s">
        <v>19</v>
      </c>
      <c r="C2">
        <v>4008794</v>
      </c>
      <c r="D2">
        <v>3876954</v>
      </c>
      <c r="E2">
        <v>4376891</v>
      </c>
      <c r="F2">
        <v>5593262</v>
      </c>
      <c r="G2">
        <v>3346108</v>
      </c>
      <c r="H2">
        <v>3713389</v>
      </c>
      <c r="I2">
        <v>3215175</v>
      </c>
      <c r="J2">
        <v>1194118</v>
      </c>
      <c r="K2">
        <v>1601079</v>
      </c>
      <c r="L2">
        <v>2052627</v>
      </c>
      <c r="M2">
        <v>1916003</v>
      </c>
      <c r="N2">
        <v>599790</v>
      </c>
      <c r="O2">
        <v>270590</v>
      </c>
    </row>
    <row r="3" spans="1:15" x14ac:dyDescent="0.35">
      <c r="A3">
        <v>1420</v>
      </c>
      <c r="B3" t="s">
        <v>20</v>
      </c>
      <c r="C3">
        <v>168964</v>
      </c>
      <c r="D3">
        <v>182354</v>
      </c>
      <c r="E3">
        <v>175670</v>
      </c>
      <c r="F3">
        <v>180741</v>
      </c>
      <c r="G3">
        <v>166429</v>
      </c>
      <c r="H3">
        <v>186594</v>
      </c>
      <c r="I3">
        <v>128698</v>
      </c>
      <c r="J3">
        <v>65181</v>
      </c>
      <c r="K3">
        <v>95321</v>
      </c>
      <c r="L3">
        <v>87989</v>
      </c>
      <c r="M3">
        <v>73430</v>
      </c>
      <c r="N3">
        <v>39443</v>
      </c>
      <c r="O3">
        <v>20631</v>
      </c>
    </row>
    <row r="4" spans="1:15" x14ac:dyDescent="0.35">
      <c r="A4">
        <v>1430</v>
      </c>
      <c r="B4" t="s">
        <v>21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</row>
    <row r="5" spans="1:15" x14ac:dyDescent="0.35">
      <c r="A5">
        <v>1450</v>
      </c>
      <c r="B5" t="s">
        <v>22</v>
      </c>
      <c r="C5">
        <v>43657</v>
      </c>
      <c r="D5">
        <v>45008</v>
      </c>
      <c r="E5">
        <v>39875</v>
      </c>
      <c r="F5">
        <v>45367</v>
      </c>
      <c r="G5">
        <v>49755</v>
      </c>
      <c r="H5">
        <v>55790</v>
      </c>
      <c r="I5">
        <v>29337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</row>
    <row r="6" spans="1:15" x14ac:dyDescent="0.35">
      <c r="A6">
        <v>1400</v>
      </c>
      <c r="B6" t="s">
        <v>23</v>
      </c>
      <c r="C6">
        <v>4221415</v>
      </c>
      <c r="D6">
        <v>4104316</v>
      </c>
      <c r="E6">
        <v>4592436</v>
      </c>
      <c r="F6">
        <v>5819370</v>
      </c>
      <c r="G6">
        <v>3562291</v>
      </c>
      <c r="H6">
        <v>3955773</v>
      </c>
      <c r="I6">
        <v>3373209</v>
      </c>
      <c r="J6">
        <v>1259299</v>
      </c>
      <c r="K6">
        <v>1696400</v>
      </c>
      <c r="L6">
        <v>2140616</v>
      </c>
      <c r="M6">
        <v>1989433</v>
      </c>
      <c r="N6">
        <v>639233</v>
      </c>
      <c r="O6">
        <v>291221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C16" sqref="C16"/>
    </sheetView>
  </sheetViews>
  <sheetFormatPr defaultRowHeight="14.5" x14ac:dyDescent="0.35"/>
  <sheetData>
    <row r="1" spans="1:15" x14ac:dyDescent="0.35">
      <c r="A1" t="s">
        <v>3</v>
      </c>
      <c r="B1" t="s">
        <v>4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1510</v>
      </c>
      <c r="B2" t="s">
        <v>24</v>
      </c>
      <c r="C2">
        <v>1489221</v>
      </c>
      <c r="D2">
        <v>1567938</v>
      </c>
      <c r="E2">
        <v>1190235</v>
      </c>
      <c r="F2">
        <v>1389507</v>
      </c>
      <c r="G2">
        <v>639351</v>
      </c>
      <c r="H2">
        <v>180184</v>
      </c>
      <c r="I2">
        <v>157851</v>
      </c>
      <c r="J2">
        <v>387014</v>
      </c>
      <c r="K2">
        <v>439450</v>
      </c>
      <c r="L2">
        <v>280451</v>
      </c>
      <c r="M2">
        <v>1572</v>
      </c>
      <c r="N2">
        <v>21678</v>
      </c>
      <c r="O2">
        <v>1033</v>
      </c>
    </row>
    <row r="3" spans="1:15" x14ac:dyDescent="0.35">
      <c r="A3">
        <v>1520</v>
      </c>
      <c r="B3" t="s">
        <v>25</v>
      </c>
      <c r="C3">
        <v>1874563</v>
      </c>
      <c r="D3">
        <v>1353487</v>
      </c>
      <c r="E3">
        <v>1633267</v>
      </c>
      <c r="F3">
        <v>1815342</v>
      </c>
      <c r="G3">
        <v>1916323</v>
      </c>
      <c r="H3">
        <v>1481872</v>
      </c>
      <c r="I3">
        <v>1060397</v>
      </c>
      <c r="J3">
        <v>685538</v>
      </c>
      <c r="K3">
        <v>728110</v>
      </c>
      <c r="L3">
        <v>577622</v>
      </c>
      <c r="M3">
        <v>606332</v>
      </c>
      <c r="N3">
        <v>316817</v>
      </c>
      <c r="O3">
        <v>383777</v>
      </c>
    </row>
    <row r="4" spans="1:15" x14ac:dyDescent="0.35">
      <c r="A4">
        <v>1530</v>
      </c>
      <c r="B4" t="s">
        <v>26</v>
      </c>
      <c r="C4">
        <v>218754</v>
      </c>
      <c r="D4">
        <v>239870</v>
      </c>
      <c r="E4">
        <v>256338</v>
      </c>
      <c r="F4">
        <v>224675</v>
      </c>
      <c r="G4">
        <v>234388</v>
      </c>
      <c r="H4">
        <v>244355</v>
      </c>
      <c r="I4">
        <v>254195</v>
      </c>
      <c r="J4">
        <v>264035</v>
      </c>
      <c r="K4">
        <v>197905</v>
      </c>
      <c r="L4" t="s">
        <v>0</v>
      </c>
      <c r="M4" t="s">
        <v>0</v>
      </c>
      <c r="N4" t="s">
        <v>0</v>
      </c>
      <c r="O4" t="s">
        <v>0</v>
      </c>
    </row>
    <row r="5" spans="1:15" x14ac:dyDescent="0.35">
      <c r="A5">
        <v>1540</v>
      </c>
      <c r="B5" t="s">
        <v>21</v>
      </c>
      <c r="C5">
        <v>123722</v>
      </c>
      <c r="D5">
        <v>112478</v>
      </c>
      <c r="E5">
        <v>99087</v>
      </c>
      <c r="F5">
        <v>144285</v>
      </c>
      <c r="G5">
        <v>91262</v>
      </c>
      <c r="H5">
        <v>39066</v>
      </c>
      <c r="I5">
        <v>52377</v>
      </c>
      <c r="J5">
        <v>36248</v>
      </c>
      <c r="K5">
        <v>30821</v>
      </c>
      <c r="L5">
        <v>20499</v>
      </c>
      <c r="M5">
        <v>18862</v>
      </c>
      <c r="N5">
        <v>17118</v>
      </c>
      <c r="O5">
        <v>10525</v>
      </c>
    </row>
    <row r="6" spans="1:15" x14ac:dyDescent="0.35">
      <c r="A6">
        <v>1550</v>
      </c>
      <c r="B6" t="s">
        <v>27</v>
      </c>
      <c r="C6">
        <v>5965</v>
      </c>
      <c r="D6">
        <v>4724</v>
      </c>
      <c r="E6">
        <v>6894</v>
      </c>
      <c r="F6">
        <v>8490</v>
      </c>
      <c r="G6">
        <v>3598</v>
      </c>
      <c r="H6">
        <v>6586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</row>
    <row r="7" spans="1:15" x14ac:dyDescent="0.35">
      <c r="A7">
        <v>1500</v>
      </c>
      <c r="B7" t="s">
        <v>28</v>
      </c>
      <c r="C7">
        <v>3712225</v>
      </c>
      <c r="D7">
        <v>3278497</v>
      </c>
      <c r="E7">
        <v>3185820</v>
      </c>
      <c r="F7">
        <v>3582298</v>
      </c>
      <c r="G7">
        <v>2884922</v>
      </c>
      <c r="H7">
        <v>1952061</v>
      </c>
      <c r="I7">
        <v>1524819</v>
      </c>
      <c r="J7">
        <v>1372834</v>
      </c>
      <c r="K7">
        <v>1396285</v>
      </c>
      <c r="L7">
        <v>878572</v>
      </c>
      <c r="M7">
        <v>626766</v>
      </c>
      <c r="N7">
        <v>355613</v>
      </c>
      <c r="O7">
        <v>395335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Лист6</vt:lpstr>
      <vt:lpstr>Лист2</vt:lpstr>
      <vt:lpstr>Лист3</vt:lpstr>
      <vt:lpstr>Лист4</vt:lpstr>
      <vt:lpstr>Лист5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2025-05-22T12:50:24Z</dcterms:created>
  <dcterms:modified xsi:type="dcterms:W3CDTF">2025-05-25T08:55:36Z</dcterms:modified>
</cp:coreProperties>
</file>